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ARSH VANJARI\OneDrive\Desktop\Preparation\Data Analyst\Excel\"/>
    </mc:Choice>
  </mc:AlternateContent>
  <xr:revisionPtr revIDLastSave="0" documentId="13_ncr:1_{7450B921-5E12-4E4B-9F8B-EB3769D4334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46" i="1" l="1" a="1"/>
  <c r="G46" i="1" s="1"/>
  <c r="F46" i="1"/>
  <c r="F47" i="1"/>
  <c r="F48" i="1"/>
  <c r="F49" i="1"/>
  <c r="F50" i="1"/>
  <c r="F51" i="1"/>
  <c r="F52" i="1"/>
  <c r="F53" i="1"/>
  <c r="F54" i="1"/>
  <c r="F55" i="1"/>
  <c r="M51" i="1"/>
  <c r="M52" i="1"/>
  <c r="M53" i="1"/>
  <c r="M54" i="1"/>
  <c r="M55" i="1"/>
  <c r="M48" i="1"/>
  <c r="M49" i="1"/>
  <c r="M50" i="1"/>
  <c r="M47" i="1"/>
  <c r="L48" i="1"/>
  <c r="L49" i="1"/>
  <c r="L47" i="1"/>
  <c r="K48" i="1"/>
  <c r="K49" i="1"/>
  <c r="K47" i="1"/>
  <c r="J48" i="1"/>
  <c r="J49" i="1"/>
  <c r="J50" i="1"/>
  <c r="J51" i="1"/>
  <c r="J52" i="1"/>
  <c r="J53" i="1"/>
  <c r="J54" i="1"/>
  <c r="J55" i="1"/>
  <c r="J56" i="1"/>
  <c r="J47" i="1"/>
  <c r="P42" i="1"/>
  <c r="L42" i="1"/>
  <c r="K42" i="1"/>
  <c r="J42" i="1"/>
  <c r="O42" i="1" s="1"/>
  <c r="Q9" i="1"/>
  <c r="Q10" i="1"/>
  <c r="Q11" i="1"/>
  <c r="Q12" i="1"/>
  <c r="Q13" i="1"/>
  <c r="Q14" i="1"/>
  <c r="Q15" i="1"/>
  <c r="Q16" i="1"/>
  <c r="Q17" i="1"/>
  <c r="Q8" i="1"/>
  <c r="T26" i="1"/>
  <c r="S26" i="1"/>
  <c r="R26" i="1"/>
  <c r="Q26" i="1"/>
  <c r="P26" i="1"/>
  <c r="O26" i="1"/>
  <c r="N26" i="1"/>
  <c r="M26" i="1"/>
  <c r="L26" i="1"/>
  <c r="K27" i="1"/>
  <c r="K28" i="1"/>
  <c r="K29" i="1"/>
  <c r="K30" i="1"/>
  <c r="K31" i="1"/>
  <c r="K32" i="1"/>
  <c r="K33" i="1"/>
  <c r="K34" i="1"/>
  <c r="K35" i="1"/>
  <c r="K36" i="1"/>
  <c r="K37" i="1"/>
  <c r="K26" i="1"/>
  <c r="J37" i="1"/>
  <c r="J36" i="1"/>
  <c r="J35" i="1"/>
  <c r="J27" i="1"/>
  <c r="J28" i="1"/>
  <c r="J29" i="1"/>
  <c r="J30" i="1"/>
  <c r="J31" i="1"/>
  <c r="J32" i="1"/>
  <c r="J33" i="1"/>
  <c r="J34" i="1"/>
  <c r="J26" i="1"/>
  <c r="O9" i="1"/>
  <c r="O10" i="1"/>
  <c r="O11" i="1"/>
  <c r="O12" i="1"/>
  <c r="O13" i="1"/>
  <c r="O14" i="1"/>
  <c r="O15" i="1"/>
  <c r="O16" i="1"/>
  <c r="O17" i="1"/>
  <c r="O8" i="1"/>
  <c r="N9" i="1"/>
  <c r="N10" i="1"/>
  <c r="N11" i="1"/>
  <c r="N12" i="1"/>
  <c r="N13" i="1"/>
  <c r="N14" i="1"/>
  <c r="N15" i="1"/>
  <c r="N16" i="1"/>
  <c r="N17" i="1"/>
  <c r="N8" i="1"/>
  <c r="M9" i="1"/>
  <c r="M10" i="1"/>
  <c r="M11" i="1"/>
  <c r="M12" i="1"/>
  <c r="M13" i="1"/>
  <c r="M14" i="1"/>
  <c r="M15" i="1"/>
  <c r="M16" i="1"/>
  <c r="M17" i="1"/>
  <c r="M8" i="1"/>
  <c r="L9" i="1"/>
  <c r="L10" i="1"/>
  <c r="L11" i="1"/>
  <c r="L12" i="1"/>
  <c r="L13" i="1"/>
  <c r="L14" i="1"/>
  <c r="L15" i="1"/>
  <c r="L16" i="1"/>
  <c r="L17" i="1"/>
  <c r="L8" i="1"/>
  <c r="N5" i="1"/>
  <c r="M5" i="1"/>
  <c r="L5" i="1"/>
  <c r="K5" i="1"/>
  <c r="J5" i="1"/>
  <c r="M42" i="1" l="1"/>
  <c r="N42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<sst xmlns="http://schemas.openxmlformats.org/spreadsheetml/2006/main" count="186" uniqueCount="91">
  <si>
    <t>Name</t>
  </si>
  <si>
    <t>Department</t>
  </si>
  <si>
    <t>Salary</t>
  </si>
  <si>
    <t>Sales</t>
  </si>
  <si>
    <t>Age</t>
  </si>
  <si>
    <t>John</t>
  </si>
  <si>
    <t>Mary</t>
  </si>
  <si>
    <t>HR</t>
  </si>
  <si>
    <t>Alex</t>
  </si>
  <si>
    <t>IT</t>
  </si>
  <si>
    <t>Sara</t>
  </si>
  <si>
    <t>Tom</t>
  </si>
  <si>
    <t>Emma</t>
  </si>
  <si>
    <t>David</t>
  </si>
  <si>
    <t>Lisa</t>
  </si>
  <si>
    <t>Chris</t>
  </si>
  <si>
    <t>Anna</t>
  </si>
  <si>
    <t>Bonus</t>
  </si>
  <si>
    <t>Sum</t>
  </si>
  <si>
    <t>Count</t>
  </si>
  <si>
    <t>Max</t>
  </si>
  <si>
    <t>Min</t>
  </si>
  <si>
    <t>Average</t>
  </si>
  <si>
    <t>Upper</t>
  </si>
  <si>
    <t>Lower</t>
  </si>
  <si>
    <t>Power</t>
  </si>
  <si>
    <t>sqrt</t>
  </si>
  <si>
    <t>Proper</t>
  </si>
  <si>
    <t>Mid</t>
  </si>
  <si>
    <t>Length</t>
  </si>
  <si>
    <t>john</t>
  </si>
  <si>
    <t>mary</t>
  </si>
  <si>
    <t>alex</t>
  </si>
  <si>
    <t>sara</t>
  </si>
  <si>
    <t>tom</t>
  </si>
  <si>
    <t>emma</t>
  </si>
  <si>
    <t>david</t>
  </si>
  <si>
    <t>lisa</t>
  </si>
  <si>
    <t>chris</t>
  </si>
  <si>
    <t>anna</t>
  </si>
  <si>
    <t>JOHN</t>
  </si>
  <si>
    <t>MARY</t>
  </si>
  <si>
    <t>ALEX</t>
  </si>
  <si>
    <t>SARA</t>
  </si>
  <si>
    <t>TOM</t>
  </si>
  <si>
    <t>EMMA</t>
  </si>
  <si>
    <t>DAVID</t>
  </si>
  <si>
    <t>LISA</t>
  </si>
  <si>
    <t>CHRIS</t>
  </si>
  <si>
    <t>ANNA</t>
  </si>
  <si>
    <t>Function 1</t>
  </si>
  <si>
    <t>Function 2</t>
  </si>
  <si>
    <t>Employee</t>
  </si>
  <si>
    <t>Region</t>
  </si>
  <si>
    <t>Experience</t>
  </si>
  <si>
    <t>East</t>
  </si>
  <si>
    <t>West</t>
  </si>
  <si>
    <t>North</t>
  </si>
  <si>
    <t>South</t>
  </si>
  <si>
    <t>Mark</t>
  </si>
  <si>
    <t>Nina</t>
  </si>
  <si>
    <t>If</t>
  </si>
  <si>
    <t>Countif</t>
  </si>
  <si>
    <t>Countifs</t>
  </si>
  <si>
    <t>Averageif</t>
  </si>
  <si>
    <t>Averageifs</t>
  </si>
  <si>
    <t>Function 3</t>
  </si>
  <si>
    <t>Sumif</t>
  </si>
  <si>
    <t>Sumifs</t>
  </si>
  <si>
    <t>if</t>
  </si>
  <si>
    <t>Date</t>
  </si>
  <si>
    <t>Today</t>
  </si>
  <si>
    <t>Now</t>
  </si>
  <si>
    <t>Year</t>
  </si>
  <si>
    <t>Month</t>
  </si>
  <si>
    <t>Day</t>
  </si>
  <si>
    <t>week</t>
  </si>
  <si>
    <t>EmpID</t>
  </si>
  <si>
    <t>DepartmentID</t>
  </si>
  <si>
    <t>RegionID</t>
  </si>
  <si>
    <t>D01</t>
  </si>
  <si>
    <t>R1</t>
  </si>
  <si>
    <t>D02</t>
  </si>
  <si>
    <t>R2</t>
  </si>
  <si>
    <t>D03</t>
  </si>
  <si>
    <t>R3</t>
  </si>
  <si>
    <t>R4</t>
  </si>
  <si>
    <t>Lookup</t>
  </si>
  <si>
    <t>DepartmentName</t>
  </si>
  <si>
    <t>RegionName</t>
  </si>
  <si>
    <t>Xlookup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</si>
</sst>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6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/>
    <xf numFmtId="0" fontId="1" fillId="2" borderId="0" xfId="1" applyAlignment="1">
      <alignment horizontal="center"/>
    </xf>
    <xf numFmtId="0" fontId="2" fillId="0" borderId="0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22" fontId="0" fillId="0" borderId="1" xfId="0" applyNumberFormat="1" applyBorder="1" applyAlignment="1">
      <alignment horizontal="center"/>
    </xf>
    <xf numFmtId="0" fontId="2" fillId="0" borderId="0" xfId="0" applyFont="1" applyFill="1" applyBorder="1" applyAlignment="1">
      <alignment horizontal="center"/>
    </xf>
    <xf numFmtId="0" fontId="2" fillId="0" borderId="1" xfId="0" applyFont="1" applyFill="1" applyBorder="1" applyAlignment="1">
      <alignment horizontal="center"/>
    </xf>
    <xf numFmtId="0" fontId="2" fillId="0" borderId="2" xfId="0" applyFont="1" applyFill="1" applyBorder="1" applyAlignment="1">
      <alignment horizontal="center"/>
    </xf>
    <xf numFmtId="0" fontId="0" fillId="0" borderId="1" xfId="0" applyBorder="1"/>
    <xf numFmtId="0" fontId="0" fillId="0" borderId="0" xfId="0" applyBorder="1"/>
  </cellXfs>
  <cellStyles count="2">
    <cellStyle name="Good" xfId="1" builtinId="26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66"/>
  <sheetViews>
    <sheetView tabSelected="1" topLeftCell="A42" zoomScale="109" zoomScaleNormal="120" workbookViewId="0">
      <selection activeCell="G46" sqref="G46"/>
    </sheetView>
  </sheetViews>
  <sheetFormatPr defaultRowHeight="14.4" x14ac:dyDescent="0.3"/>
  <cols>
    <col min="1" max="1" width="13" bestFit="1" customWidth="1"/>
    <col min="2" max="2" width="16.21875" bestFit="1" customWidth="1"/>
    <col min="3" max="3" width="13" bestFit="1" customWidth="1"/>
    <col min="4" max="4" width="6.109375" bestFit="1" customWidth="1"/>
    <col min="5" max="5" width="8.44140625" bestFit="1" customWidth="1"/>
    <col min="6" max="6" width="11.77734375" bestFit="1" customWidth="1"/>
    <col min="7" max="7" width="16.44140625" bestFit="1" customWidth="1"/>
    <col min="8" max="8" width="11.77734375" customWidth="1"/>
    <col min="10" max="11" width="10.33203125" bestFit="1" customWidth="1"/>
    <col min="12" max="12" width="15.44140625" bestFit="1" customWidth="1"/>
    <col min="13" max="13" width="12.109375" bestFit="1" customWidth="1"/>
    <col min="14" max="14" width="7.88671875" bestFit="1" customWidth="1"/>
    <col min="17" max="17" width="9" bestFit="1" customWidth="1"/>
    <col min="18" max="18" width="9.6640625" bestFit="1" customWidth="1"/>
  </cols>
  <sheetData>
    <row r="1" spans="1:18" s="3" customFormat="1" x14ac:dyDescent="0.3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</row>
    <row r="2" spans="1:18" x14ac:dyDescent="0.3">
      <c r="A2" s="8" t="s">
        <v>5</v>
      </c>
      <c r="B2" s="8" t="s">
        <v>3</v>
      </c>
      <c r="C2" s="8">
        <v>3000</v>
      </c>
      <c r="D2" s="8">
        <v>200</v>
      </c>
      <c r="E2" s="8">
        <v>25</v>
      </c>
      <c r="J2" s="4" t="s">
        <v>50</v>
      </c>
      <c r="K2" s="4"/>
      <c r="L2" s="4"/>
      <c r="M2" s="4"/>
      <c r="N2" s="4"/>
      <c r="O2" s="4"/>
      <c r="P2" s="4"/>
      <c r="Q2" s="4"/>
      <c r="R2" s="4"/>
    </row>
    <row r="3" spans="1:18" x14ac:dyDescent="0.3">
      <c r="A3" s="8" t="s">
        <v>6</v>
      </c>
      <c r="B3" s="8" t="s">
        <v>7</v>
      </c>
      <c r="C3" s="8">
        <v>4000</v>
      </c>
      <c r="D3" s="8">
        <v>150</v>
      </c>
      <c r="E3" s="8">
        <v>30</v>
      </c>
    </row>
    <row r="4" spans="1:18" x14ac:dyDescent="0.3">
      <c r="A4" s="8" t="s">
        <v>8</v>
      </c>
      <c r="B4" s="8" t="s">
        <v>9</v>
      </c>
      <c r="C4" s="8">
        <v>5000</v>
      </c>
      <c r="D4" s="8">
        <v>300</v>
      </c>
      <c r="E4" s="8">
        <v>28</v>
      </c>
      <c r="J4" s="7" t="s">
        <v>18</v>
      </c>
      <c r="K4" s="7" t="s">
        <v>19</v>
      </c>
      <c r="L4" s="7" t="s">
        <v>20</v>
      </c>
      <c r="M4" s="7" t="s">
        <v>21</v>
      </c>
      <c r="N4" s="7" t="s">
        <v>22</v>
      </c>
    </row>
    <row r="5" spans="1:18" x14ac:dyDescent="0.3">
      <c r="A5" s="8" t="s">
        <v>10</v>
      </c>
      <c r="B5" s="8" t="s">
        <v>3</v>
      </c>
      <c r="C5" s="8">
        <v>3500</v>
      </c>
      <c r="D5" s="8">
        <v>250</v>
      </c>
      <c r="E5" s="8">
        <v>26</v>
      </c>
      <c r="J5" s="8">
        <f>SUM(D2:D11)</f>
        <v>2070</v>
      </c>
      <c r="K5" s="8">
        <f>COUNT(C2:C11)</f>
        <v>10</v>
      </c>
      <c r="L5" s="8">
        <f>MAX(C2:C11)</f>
        <v>5000</v>
      </c>
      <c r="M5" s="8">
        <f>MIN(C2:C11)</f>
        <v>3000</v>
      </c>
      <c r="N5" s="8">
        <f>AVERAGE(C2:C11)</f>
        <v>3940</v>
      </c>
    </row>
    <row r="6" spans="1:18" x14ac:dyDescent="0.3">
      <c r="A6" s="8" t="s">
        <v>11</v>
      </c>
      <c r="B6" s="8" t="s">
        <v>9</v>
      </c>
      <c r="C6" s="8">
        <v>4500</v>
      </c>
      <c r="D6" s="8">
        <v>100</v>
      </c>
      <c r="E6" s="8">
        <v>35</v>
      </c>
    </row>
    <row r="7" spans="1:18" x14ac:dyDescent="0.3">
      <c r="A7" s="8" t="s">
        <v>12</v>
      </c>
      <c r="B7" s="8" t="s">
        <v>7</v>
      </c>
      <c r="C7" s="8">
        <v>3800</v>
      </c>
      <c r="D7" s="8">
        <v>180</v>
      </c>
      <c r="E7" s="8">
        <v>29</v>
      </c>
      <c r="J7" s="7" t="s">
        <v>23</v>
      </c>
      <c r="K7" s="7" t="s">
        <v>24</v>
      </c>
      <c r="L7" s="7" t="s">
        <v>25</v>
      </c>
      <c r="M7" s="7" t="s">
        <v>26</v>
      </c>
      <c r="N7" s="7" t="s">
        <v>27</v>
      </c>
      <c r="O7" s="7" t="s">
        <v>28</v>
      </c>
      <c r="P7" s="7" t="s">
        <v>29</v>
      </c>
      <c r="Q7" s="7" t="s">
        <v>69</v>
      </c>
    </row>
    <row r="8" spans="1:18" x14ac:dyDescent="0.3">
      <c r="A8" s="8" t="s">
        <v>13</v>
      </c>
      <c r="B8" s="8" t="s">
        <v>3</v>
      </c>
      <c r="C8" s="8">
        <v>3200</v>
      </c>
      <c r="D8" s="8">
        <v>220</v>
      </c>
      <c r="E8" s="8">
        <v>31</v>
      </c>
      <c r="J8" s="8" t="s">
        <v>40</v>
      </c>
      <c r="K8" s="8" t="s">
        <v>30</v>
      </c>
      <c r="L8" s="8">
        <f>POWER(E2,2)</f>
        <v>625</v>
      </c>
      <c r="M8" s="8">
        <f>SQRT(E2)</f>
        <v>5</v>
      </c>
      <c r="N8" s="8" t="str">
        <f>PROPER(B2)</f>
        <v>Sales</v>
      </c>
      <c r="O8" s="8" t="str">
        <f>MID(A2,1,3)</f>
        <v>Joh</v>
      </c>
      <c r="P8" s="8">
        <v>4</v>
      </c>
      <c r="Q8" s="8" t="str">
        <f>IF(D2&gt;=250,"Excellent",IF(D2&gt;=200,"Good","Poor"))</f>
        <v>Good</v>
      </c>
    </row>
    <row r="9" spans="1:18" x14ac:dyDescent="0.3">
      <c r="A9" s="8" t="s">
        <v>14</v>
      </c>
      <c r="B9" s="8" t="s">
        <v>9</v>
      </c>
      <c r="C9" s="8">
        <v>4700</v>
      </c>
      <c r="D9" s="8">
        <v>270</v>
      </c>
      <c r="E9" s="8">
        <v>27</v>
      </c>
      <c r="J9" s="8" t="s">
        <v>41</v>
      </c>
      <c r="K9" s="8" t="s">
        <v>31</v>
      </c>
      <c r="L9" s="8">
        <f t="shared" ref="L9:L17" si="0">POWER(E3,2)</f>
        <v>900</v>
      </c>
      <c r="M9" s="8">
        <f t="shared" ref="M9:M17" si="1">SQRT(E3)</f>
        <v>5.4772255750516612</v>
      </c>
      <c r="N9" s="8" t="str">
        <f t="shared" ref="N9:N17" si="2">PROPER(B3)</f>
        <v>Hr</v>
      </c>
      <c r="O9" s="8" t="str">
        <f t="shared" ref="O9:O17" si="3">MID(A3,1,3)</f>
        <v>Mar</v>
      </c>
      <c r="P9" s="8">
        <v>4</v>
      </c>
      <c r="Q9" s="8" t="str">
        <f t="shared" ref="Q9:Q17" si="4">IF(D3&gt;=250,"Excellent",IF(D3&gt;=200,"Good","Poor"))</f>
        <v>Poor</v>
      </c>
    </row>
    <row r="10" spans="1:18" x14ac:dyDescent="0.3">
      <c r="A10" s="8" t="s">
        <v>15</v>
      </c>
      <c r="B10" s="8" t="s">
        <v>7</v>
      </c>
      <c r="C10" s="8">
        <v>4100</v>
      </c>
      <c r="D10" s="8">
        <v>160</v>
      </c>
      <c r="E10" s="8">
        <v>33</v>
      </c>
      <c r="J10" s="8" t="s">
        <v>42</v>
      </c>
      <c r="K10" s="8" t="s">
        <v>32</v>
      </c>
      <c r="L10" s="8">
        <f t="shared" si="0"/>
        <v>784</v>
      </c>
      <c r="M10" s="8">
        <f t="shared" si="1"/>
        <v>5.2915026221291814</v>
      </c>
      <c r="N10" s="8" t="str">
        <f t="shared" si="2"/>
        <v>It</v>
      </c>
      <c r="O10" s="8" t="str">
        <f t="shared" si="3"/>
        <v>Ale</v>
      </c>
      <c r="P10" s="8">
        <v>4</v>
      </c>
      <c r="Q10" s="8" t="str">
        <f t="shared" si="4"/>
        <v>Excellent</v>
      </c>
    </row>
    <row r="11" spans="1:18" x14ac:dyDescent="0.3">
      <c r="A11" s="8" t="s">
        <v>16</v>
      </c>
      <c r="B11" s="8" t="s">
        <v>3</v>
      </c>
      <c r="C11" s="8">
        <v>3600</v>
      </c>
      <c r="D11" s="8">
        <v>240</v>
      </c>
      <c r="E11" s="8">
        <v>24</v>
      </c>
      <c r="J11" s="8" t="s">
        <v>43</v>
      </c>
      <c r="K11" s="8" t="s">
        <v>33</v>
      </c>
      <c r="L11" s="8">
        <f t="shared" si="0"/>
        <v>676</v>
      </c>
      <c r="M11" s="8">
        <f t="shared" si="1"/>
        <v>5.0990195135927845</v>
      </c>
      <c r="N11" s="8" t="str">
        <f t="shared" si="2"/>
        <v>Sales</v>
      </c>
      <c r="O11" s="8" t="str">
        <f t="shared" si="3"/>
        <v>Sar</v>
      </c>
      <c r="P11" s="8">
        <v>4</v>
      </c>
      <c r="Q11" s="8" t="str">
        <f t="shared" si="4"/>
        <v>Excellent</v>
      </c>
    </row>
    <row r="12" spans="1:18" x14ac:dyDescent="0.3">
      <c r="J12" s="8" t="s">
        <v>44</v>
      </c>
      <c r="K12" s="8" t="s">
        <v>34</v>
      </c>
      <c r="L12" s="8">
        <f t="shared" si="0"/>
        <v>1225</v>
      </c>
      <c r="M12" s="8">
        <f t="shared" si="1"/>
        <v>5.9160797830996161</v>
      </c>
      <c r="N12" s="8" t="str">
        <f t="shared" si="2"/>
        <v>It</v>
      </c>
      <c r="O12" s="8" t="str">
        <f t="shared" si="3"/>
        <v>Tom</v>
      </c>
      <c r="P12" s="8">
        <v>3</v>
      </c>
      <c r="Q12" s="8" t="str">
        <f t="shared" si="4"/>
        <v>Poor</v>
      </c>
    </row>
    <row r="13" spans="1:18" x14ac:dyDescent="0.3">
      <c r="J13" s="8" t="s">
        <v>45</v>
      </c>
      <c r="K13" s="8" t="s">
        <v>35</v>
      </c>
      <c r="L13" s="8">
        <f t="shared" si="0"/>
        <v>841</v>
      </c>
      <c r="M13" s="8">
        <f t="shared" si="1"/>
        <v>5.3851648071345037</v>
      </c>
      <c r="N13" s="8" t="str">
        <f t="shared" si="2"/>
        <v>Hr</v>
      </c>
      <c r="O13" s="8" t="str">
        <f t="shared" si="3"/>
        <v>Emm</v>
      </c>
      <c r="P13" s="8">
        <v>4</v>
      </c>
      <c r="Q13" s="8" t="str">
        <f t="shared" si="4"/>
        <v>Poor</v>
      </c>
    </row>
    <row r="14" spans="1:18" x14ac:dyDescent="0.3">
      <c r="J14" s="8" t="s">
        <v>46</v>
      </c>
      <c r="K14" s="8" t="s">
        <v>36</v>
      </c>
      <c r="L14" s="8">
        <f t="shared" si="0"/>
        <v>961</v>
      </c>
      <c r="M14" s="8">
        <f t="shared" si="1"/>
        <v>5.5677643628300215</v>
      </c>
      <c r="N14" s="8" t="str">
        <f t="shared" si="2"/>
        <v>Sales</v>
      </c>
      <c r="O14" s="8" t="str">
        <f t="shared" si="3"/>
        <v>Dav</v>
      </c>
      <c r="P14" s="8">
        <v>5</v>
      </c>
      <c r="Q14" s="8" t="str">
        <f t="shared" si="4"/>
        <v>Good</v>
      </c>
    </row>
    <row r="15" spans="1:18" x14ac:dyDescent="0.3">
      <c r="J15" s="8" t="s">
        <v>47</v>
      </c>
      <c r="K15" s="8" t="s">
        <v>37</v>
      </c>
      <c r="L15" s="8">
        <f t="shared" si="0"/>
        <v>729</v>
      </c>
      <c r="M15" s="8">
        <f t="shared" si="1"/>
        <v>5.196152422706632</v>
      </c>
      <c r="N15" s="8" t="str">
        <f t="shared" si="2"/>
        <v>It</v>
      </c>
      <c r="O15" s="8" t="str">
        <f t="shared" si="3"/>
        <v>Lis</v>
      </c>
      <c r="P15" s="8">
        <v>4</v>
      </c>
      <c r="Q15" s="8" t="str">
        <f t="shared" si="4"/>
        <v>Excellent</v>
      </c>
    </row>
    <row r="16" spans="1:18" x14ac:dyDescent="0.3">
      <c r="J16" s="8" t="s">
        <v>48</v>
      </c>
      <c r="K16" s="8" t="s">
        <v>38</v>
      </c>
      <c r="L16" s="8">
        <f t="shared" si="0"/>
        <v>1089</v>
      </c>
      <c r="M16" s="8">
        <f t="shared" si="1"/>
        <v>5.7445626465380286</v>
      </c>
      <c r="N16" s="8" t="str">
        <f t="shared" si="2"/>
        <v>Hr</v>
      </c>
      <c r="O16" s="8" t="str">
        <f t="shared" si="3"/>
        <v>Chr</v>
      </c>
      <c r="P16" s="8">
        <v>5</v>
      </c>
      <c r="Q16" s="8" t="str">
        <f t="shared" si="4"/>
        <v>Poor</v>
      </c>
    </row>
    <row r="17" spans="1:22" x14ac:dyDescent="0.3">
      <c r="J17" s="8" t="s">
        <v>49</v>
      </c>
      <c r="K17" s="8" t="s">
        <v>39</v>
      </c>
      <c r="L17" s="8">
        <f t="shared" si="0"/>
        <v>576</v>
      </c>
      <c r="M17" s="8">
        <f t="shared" si="1"/>
        <v>4.8989794855663558</v>
      </c>
      <c r="N17" s="8" t="str">
        <f t="shared" si="2"/>
        <v>Sales</v>
      </c>
      <c r="O17" s="8" t="str">
        <f t="shared" si="3"/>
        <v>Ann</v>
      </c>
      <c r="P17" s="8">
        <v>4</v>
      </c>
      <c r="Q17" s="8" t="str">
        <f t="shared" si="4"/>
        <v>Good</v>
      </c>
    </row>
    <row r="23" spans="1:22" x14ac:dyDescent="0.3">
      <c r="A23" s="7" t="s">
        <v>52</v>
      </c>
      <c r="B23" s="7" t="s">
        <v>1</v>
      </c>
      <c r="C23" s="7" t="s">
        <v>53</v>
      </c>
      <c r="D23" s="7" t="s">
        <v>2</v>
      </c>
      <c r="E23" s="7" t="s">
        <v>3</v>
      </c>
      <c r="F23" s="7" t="s">
        <v>54</v>
      </c>
      <c r="G23" s="5"/>
      <c r="H23" s="5"/>
      <c r="J23" s="4" t="s">
        <v>51</v>
      </c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</row>
    <row r="24" spans="1:22" x14ac:dyDescent="0.3">
      <c r="A24" s="8" t="s">
        <v>5</v>
      </c>
      <c r="B24" s="8" t="s">
        <v>3</v>
      </c>
      <c r="C24" s="8" t="s">
        <v>55</v>
      </c>
      <c r="D24" s="8">
        <v>3000</v>
      </c>
      <c r="E24" s="8">
        <v>200</v>
      </c>
      <c r="F24" s="8">
        <v>2</v>
      </c>
      <c r="G24" s="6"/>
      <c r="H24" s="6"/>
    </row>
    <row r="25" spans="1:22" x14ac:dyDescent="0.3">
      <c r="A25" s="8" t="s">
        <v>6</v>
      </c>
      <c r="B25" s="8" t="s">
        <v>7</v>
      </c>
      <c r="C25" s="8" t="s">
        <v>56</v>
      </c>
      <c r="D25" s="8">
        <v>4000</v>
      </c>
      <c r="E25" s="8">
        <v>150</v>
      </c>
      <c r="F25" s="8">
        <v>5</v>
      </c>
      <c r="G25" s="6"/>
      <c r="H25" s="6"/>
      <c r="J25" s="7" t="s">
        <v>61</v>
      </c>
      <c r="K25" s="7" t="s">
        <v>61</v>
      </c>
      <c r="L25" s="7" t="s">
        <v>20</v>
      </c>
      <c r="M25" s="7" t="s">
        <v>21</v>
      </c>
      <c r="N25" s="7" t="s">
        <v>20</v>
      </c>
      <c r="O25" s="7" t="s">
        <v>62</v>
      </c>
      <c r="P25" s="7" t="s">
        <v>63</v>
      </c>
      <c r="Q25" s="7" t="s">
        <v>64</v>
      </c>
      <c r="R25" s="7" t="s">
        <v>65</v>
      </c>
      <c r="S25" s="7" t="s">
        <v>67</v>
      </c>
      <c r="T25" s="7" t="s">
        <v>68</v>
      </c>
      <c r="U25" s="7" t="s">
        <v>69</v>
      </c>
    </row>
    <row r="26" spans="1:22" x14ac:dyDescent="0.3">
      <c r="A26" s="8" t="s">
        <v>8</v>
      </c>
      <c r="B26" s="8" t="s">
        <v>9</v>
      </c>
      <c r="C26" s="8" t="s">
        <v>57</v>
      </c>
      <c r="D26" s="8">
        <v>5000</v>
      </c>
      <c r="E26" s="8">
        <v>300</v>
      </c>
      <c r="F26" s="8">
        <v>4</v>
      </c>
      <c r="G26" s="6"/>
      <c r="H26" s="6"/>
      <c r="J26" s="8" t="str">
        <f>IF(E24&gt;=250,"Excellent","Poor")</f>
        <v>Poor</v>
      </c>
      <c r="K26" s="8" t="str">
        <f>IF(D24&gt;=4500,"High","Low")</f>
        <v>Low</v>
      </c>
      <c r="L26" s="8">
        <f>MAX(D24:D35)</f>
        <v>5200</v>
      </c>
      <c r="M26" s="8">
        <f>MIN(D24:D35)</f>
        <v>3000</v>
      </c>
      <c r="N26" s="8">
        <f>MAX(F24:F35)</f>
        <v>8</v>
      </c>
      <c r="O26" s="8">
        <f>COUNTIF(B24:B35,"HR")</f>
        <v>4</v>
      </c>
      <c r="P26" s="8">
        <f>COUNTIFS(D24:D35,"&gt;4000",F24:F35,5)</f>
        <v>0</v>
      </c>
      <c r="Q26" s="8">
        <f>AVERAGEIF(B24:B35,"HR",D24:D35)</f>
        <v>3950</v>
      </c>
      <c r="R26" s="8">
        <f>AVERAGEIFS(D24:D35,B24:B35,"IT",C24:C35,"North")</f>
        <v>5100</v>
      </c>
      <c r="S26" s="8">
        <f>SUMIF(B24:B35,"HR",D24:D35)</f>
        <v>15800</v>
      </c>
      <c r="T26" s="8">
        <f>SUMIFS(E24:E35,B24:B35,"Sales",C24:C35,"North")</f>
        <v>220</v>
      </c>
      <c r="U26" s="8" t="s">
        <v>69</v>
      </c>
    </row>
    <row r="27" spans="1:22" x14ac:dyDescent="0.3">
      <c r="A27" s="8" t="s">
        <v>10</v>
      </c>
      <c r="B27" s="8" t="s">
        <v>3</v>
      </c>
      <c r="C27" s="8" t="s">
        <v>55</v>
      </c>
      <c r="D27" s="8">
        <v>3500</v>
      </c>
      <c r="E27" s="8">
        <v>250</v>
      </c>
      <c r="F27" s="8">
        <v>3</v>
      </c>
      <c r="G27" s="6"/>
      <c r="H27" s="6"/>
      <c r="J27" s="8" t="str">
        <f t="shared" ref="J27:J35" si="5">IF(E25&gt;=250,"Excellent","Poor")</f>
        <v>Poor</v>
      </c>
      <c r="K27" s="8" t="str">
        <f t="shared" ref="K27:K37" si="6">IF(D25&gt;=4500,"High","Low")</f>
        <v>Low</v>
      </c>
      <c r="L27" s="8"/>
      <c r="M27" s="8"/>
      <c r="N27" s="8"/>
      <c r="O27" s="8"/>
      <c r="P27" s="8"/>
      <c r="Q27" s="8"/>
      <c r="R27" s="8"/>
      <c r="S27" s="8"/>
      <c r="T27" s="8"/>
      <c r="U27" s="8"/>
    </row>
    <row r="28" spans="1:22" x14ac:dyDescent="0.3">
      <c r="A28" s="8" t="s">
        <v>11</v>
      </c>
      <c r="B28" s="8" t="s">
        <v>9</v>
      </c>
      <c r="C28" s="8" t="s">
        <v>58</v>
      </c>
      <c r="D28" s="8">
        <v>4500</v>
      </c>
      <c r="E28" s="8">
        <v>100</v>
      </c>
      <c r="F28" s="8">
        <v>7</v>
      </c>
      <c r="G28" s="6"/>
      <c r="H28" s="6"/>
      <c r="J28" s="8" t="str">
        <f t="shared" si="5"/>
        <v>Excellent</v>
      </c>
      <c r="K28" s="8" t="str">
        <f t="shared" si="6"/>
        <v>High</v>
      </c>
      <c r="L28" s="8"/>
      <c r="M28" s="8"/>
      <c r="N28" s="8"/>
      <c r="O28" s="8"/>
      <c r="P28" s="8"/>
      <c r="Q28" s="8"/>
      <c r="R28" s="8"/>
      <c r="S28" s="8"/>
      <c r="T28" s="8"/>
      <c r="U28" s="8"/>
    </row>
    <row r="29" spans="1:22" x14ac:dyDescent="0.3">
      <c r="A29" s="8" t="s">
        <v>12</v>
      </c>
      <c r="B29" s="8" t="s">
        <v>7</v>
      </c>
      <c r="C29" s="8" t="s">
        <v>56</v>
      </c>
      <c r="D29" s="8">
        <v>3800</v>
      </c>
      <c r="E29" s="8">
        <v>180</v>
      </c>
      <c r="F29" s="8">
        <v>6</v>
      </c>
      <c r="G29" s="6"/>
      <c r="H29" s="6"/>
      <c r="J29" s="8" t="str">
        <f t="shared" si="5"/>
        <v>Excellent</v>
      </c>
      <c r="K29" s="8" t="str">
        <f t="shared" si="6"/>
        <v>Low</v>
      </c>
      <c r="L29" s="8"/>
      <c r="M29" s="8"/>
      <c r="N29" s="8"/>
      <c r="O29" s="8"/>
      <c r="P29" s="8"/>
      <c r="Q29" s="8"/>
      <c r="R29" s="8"/>
      <c r="S29" s="8"/>
      <c r="T29" s="8"/>
      <c r="U29" s="8"/>
    </row>
    <row r="30" spans="1:22" x14ac:dyDescent="0.3">
      <c r="A30" s="8" t="s">
        <v>13</v>
      </c>
      <c r="B30" s="8" t="s">
        <v>3</v>
      </c>
      <c r="C30" s="8" t="s">
        <v>57</v>
      </c>
      <c r="D30" s="8">
        <v>3200</v>
      </c>
      <c r="E30" s="8">
        <v>220</v>
      </c>
      <c r="F30" s="8">
        <v>5</v>
      </c>
      <c r="G30" s="6"/>
      <c r="H30" s="6"/>
      <c r="J30" s="8" t="str">
        <f t="shared" si="5"/>
        <v>Poor</v>
      </c>
      <c r="K30" s="8" t="str">
        <f t="shared" si="6"/>
        <v>High</v>
      </c>
      <c r="L30" s="8"/>
      <c r="M30" s="8"/>
      <c r="N30" s="8"/>
      <c r="O30" s="8"/>
      <c r="P30" s="8"/>
      <c r="Q30" s="8"/>
      <c r="R30" s="8"/>
      <c r="S30" s="8"/>
      <c r="T30" s="8"/>
      <c r="U30" s="8"/>
    </row>
    <row r="31" spans="1:22" x14ac:dyDescent="0.3">
      <c r="A31" s="8" t="s">
        <v>14</v>
      </c>
      <c r="B31" s="8" t="s">
        <v>9</v>
      </c>
      <c r="C31" s="8" t="s">
        <v>55</v>
      </c>
      <c r="D31" s="8">
        <v>4700</v>
      </c>
      <c r="E31" s="8">
        <v>270</v>
      </c>
      <c r="F31" s="8">
        <v>4</v>
      </c>
      <c r="G31" s="6"/>
      <c r="H31" s="6"/>
      <c r="J31" s="8" t="str">
        <f t="shared" si="5"/>
        <v>Poor</v>
      </c>
      <c r="K31" s="8" t="str">
        <f t="shared" si="6"/>
        <v>Low</v>
      </c>
      <c r="L31" s="8"/>
      <c r="M31" s="8"/>
      <c r="N31" s="8"/>
      <c r="O31" s="8"/>
      <c r="P31" s="8"/>
      <c r="Q31" s="8"/>
      <c r="R31" s="8"/>
      <c r="S31" s="8"/>
      <c r="T31" s="8"/>
      <c r="U31" s="8"/>
    </row>
    <row r="32" spans="1:22" x14ac:dyDescent="0.3">
      <c r="A32" s="8" t="s">
        <v>15</v>
      </c>
      <c r="B32" s="8" t="s">
        <v>7</v>
      </c>
      <c r="C32" s="8" t="s">
        <v>58</v>
      </c>
      <c r="D32" s="8">
        <v>4100</v>
      </c>
      <c r="E32" s="8">
        <v>160</v>
      </c>
      <c r="F32" s="8">
        <v>8</v>
      </c>
      <c r="G32" s="6"/>
      <c r="H32" s="6"/>
      <c r="J32" s="8" t="str">
        <f t="shared" si="5"/>
        <v>Poor</v>
      </c>
      <c r="K32" s="8" t="str">
        <f t="shared" si="6"/>
        <v>Low</v>
      </c>
      <c r="L32" s="8"/>
      <c r="M32" s="8"/>
      <c r="N32" s="8"/>
      <c r="O32" s="8"/>
      <c r="P32" s="8"/>
      <c r="Q32" s="8"/>
      <c r="R32" s="8"/>
      <c r="S32" s="8"/>
      <c r="T32" s="8"/>
      <c r="U32" s="8"/>
    </row>
    <row r="33" spans="1:22" x14ac:dyDescent="0.3">
      <c r="A33" s="8" t="s">
        <v>16</v>
      </c>
      <c r="B33" s="8" t="s">
        <v>3</v>
      </c>
      <c r="C33" s="8" t="s">
        <v>56</v>
      </c>
      <c r="D33" s="8">
        <v>3600</v>
      </c>
      <c r="E33" s="8">
        <v>240</v>
      </c>
      <c r="F33" s="8">
        <v>2</v>
      </c>
      <c r="G33" s="6"/>
      <c r="H33" s="6"/>
      <c r="J33" s="8" t="str">
        <f t="shared" si="5"/>
        <v>Excellent</v>
      </c>
      <c r="K33" s="8" t="str">
        <f t="shared" si="6"/>
        <v>High</v>
      </c>
      <c r="L33" s="8"/>
      <c r="M33" s="8"/>
      <c r="N33" s="8"/>
      <c r="O33" s="8"/>
      <c r="P33" s="8"/>
      <c r="Q33" s="8"/>
      <c r="R33" s="8"/>
      <c r="S33" s="8"/>
      <c r="T33" s="8"/>
      <c r="U33" s="8"/>
    </row>
    <row r="34" spans="1:22" x14ac:dyDescent="0.3">
      <c r="A34" s="8" t="s">
        <v>59</v>
      </c>
      <c r="B34" s="8" t="s">
        <v>9</v>
      </c>
      <c r="C34" s="8" t="s">
        <v>57</v>
      </c>
      <c r="D34" s="8">
        <v>5200</v>
      </c>
      <c r="E34" s="8">
        <v>310</v>
      </c>
      <c r="F34" s="8">
        <v>6</v>
      </c>
      <c r="G34" s="6"/>
      <c r="H34" s="6"/>
      <c r="J34" s="8" t="str">
        <f t="shared" si="5"/>
        <v>Poor</v>
      </c>
      <c r="K34" s="8" t="str">
        <f t="shared" si="6"/>
        <v>Low</v>
      </c>
      <c r="L34" s="8"/>
      <c r="M34" s="8"/>
      <c r="N34" s="8"/>
      <c r="O34" s="8"/>
      <c r="P34" s="8"/>
      <c r="Q34" s="8"/>
      <c r="R34" s="8"/>
      <c r="S34" s="8"/>
      <c r="T34" s="8"/>
      <c r="U34" s="8"/>
    </row>
    <row r="35" spans="1:22" x14ac:dyDescent="0.3">
      <c r="A35" s="8" t="s">
        <v>60</v>
      </c>
      <c r="B35" s="8" t="s">
        <v>7</v>
      </c>
      <c r="C35" s="8" t="s">
        <v>55</v>
      </c>
      <c r="D35" s="8">
        <v>3900</v>
      </c>
      <c r="E35" s="8">
        <v>170</v>
      </c>
      <c r="F35" s="8">
        <v>3</v>
      </c>
      <c r="G35" s="6"/>
      <c r="H35" s="6"/>
      <c r="J35" s="8" t="str">
        <f>IF(E33&gt;=250,"Excellent","Poor")</f>
        <v>Poor</v>
      </c>
      <c r="K35" s="8" t="str">
        <f t="shared" si="6"/>
        <v>Low</v>
      </c>
      <c r="L35" s="8"/>
      <c r="M35" s="8"/>
      <c r="N35" s="8"/>
      <c r="O35" s="8"/>
      <c r="P35" s="8"/>
      <c r="Q35" s="8"/>
      <c r="R35" s="8"/>
      <c r="S35" s="8"/>
      <c r="T35" s="8"/>
      <c r="U35" s="8"/>
    </row>
    <row r="36" spans="1:22" x14ac:dyDescent="0.3">
      <c r="J36" s="8" t="str">
        <f t="shared" ref="J36:J37" si="7">IF(E34&gt;=250,"Excellent","Poor")</f>
        <v>Excellent</v>
      </c>
      <c r="K36" s="8" t="str">
        <f t="shared" si="6"/>
        <v>High</v>
      </c>
      <c r="L36" s="8"/>
      <c r="M36" s="8"/>
      <c r="N36" s="8"/>
      <c r="O36" s="8"/>
      <c r="P36" s="8"/>
      <c r="Q36" s="8"/>
      <c r="R36" s="8"/>
      <c r="S36" s="8"/>
      <c r="T36" s="8"/>
      <c r="U36" s="8"/>
    </row>
    <row r="37" spans="1:22" x14ac:dyDescent="0.3">
      <c r="J37" s="8" t="str">
        <f>IF(E35&gt;=250,"Excellent","Poor")</f>
        <v>Poor</v>
      </c>
      <c r="K37" s="8" t="str">
        <f t="shared" si="6"/>
        <v>Low</v>
      </c>
      <c r="L37" s="8"/>
      <c r="M37" s="8"/>
      <c r="N37" s="8"/>
      <c r="O37" s="8"/>
      <c r="P37" s="8"/>
      <c r="Q37" s="8"/>
      <c r="R37" s="8"/>
      <c r="S37" s="8"/>
      <c r="T37" s="8"/>
      <c r="U37" s="8"/>
    </row>
    <row r="38" spans="1:22" x14ac:dyDescent="0.3">
      <c r="J38" s="1"/>
      <c r="K38" s="1"/>
      <c r="L38" s="1"/>
      <c r="M38" s="1"/>
      <c r="N38" s="1"/>
      <c r="O38" s="1"/>
      <c r="P38" s="1"/>
      <c r="Q38" s="1"/>
      <c r="R38" s="1"/>
    </row>
    <row r="39" spans="1:22" x14ac:dyDescent="0.3">
      <c r="J39" s="4" t="s">
        <v>66</v>
      </c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</row>
    <row r="41" spans="1:22" x14ac:dyDescent="0.3">
      <c r="J41" s="7" t="s">
        <v>70</v>
      </c>
      <c r="K41" s="7" t="s">
        <v>71</v>
      </c>
      <c r="L41" s="7" t="s">
        <v>72</v>
      </c>
      <c r="M41" s="12" t="s">
        <v>73</v>
      </c>
      <c r="N41" s="12" t="s">
        <v>74</v>
      </c>
      <c r="O41" s="12" t="s">
        <v>75</v>
      </c>
      <c r="P41" s="12" t="s">
        <v>76</v>
      </c>
    </row>
    <row r="42" spans="1:22" x14ac:dyDescent="0.3">
      <c r="J42" s="9">
        <f>DATE(2003,12,15)</f>
        <v>37970</v>
      </c>
      <c r="K42" s="9">
        <f ca="1">TODAY()</f>
        <v>46143</v>
      </c>
      <c r="L42" s="10">
        <f ca="1">NOW()</f>
        <v>46143.093014930557</v>
      </c>
      <c r="M42" s="8">
        <f>YEAR(J42)</f>
        <v>2003</v>
      </c>
      <c r="N42" s="8">
        <f>MONTH(J42)</f>
        <v>12</v>
      </c>
      <c r="O42" s="8">
        <f>DAY(J42)</f>
        <v>15</v>
      </c>
      <c r="P42" s="8">
        <f>WEEKDAY(J42,1)</f>
        <v>2</v>
      </c>
    </row>
    <row r="44" spans="1:22" x14ac:dyDescent="0.3">
      <c r="J44" s="4" t="s">
        <v>66</v>
      </c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</row>
    <row r="45" spans="1:22" x14ac:dyDescent="0.3">
      <c r="A45" s="7" t="s">
        <v>77</v>
      </c>
      <c r="B45" s="7" t="s">
        <v>0</v>
      </c>
      <c r="C45" s="7" t="s">
        <v>78</v>
      </c>
      <c r="D45" s="7" t="s">
        <v>2</v>
      </c>
      <c r="E45" s="7" t="s">
        <v>79</v>
      </c>
      <c r="F45" s="12" t="s">
        <v>89</v>
      </c>
      <c r="G45" s="13" t="s">
        <v>88</v>
      </c>
      <c r="H45" s="13"/>
      <c r="I45" s="13"/>
      <c r="J45" s="13" t="s">
        <v>17</v>
      </c>
    </row>
    <row r="46" spans="1:22" x14ac:dyDescent="0.3">
      <c r="A46" s="8">
        <v>101</v>
      </c>
      <c r="B46" s="8" t="s">
        <v>5</v>
      </c>
      <c r="C46" s="8" t="s">
        <v>80</v>
      </c>
      <c r="D46" s="8">
        <v>3000</v>
      </c>
      <c r="E46" s="8" t="s">
        <v>81</v>
      </c>
      <c r="F46" s="14" t="str">
        <f>_xlfn.XLOOKUP(E46,$A$62:$A$66,$B$62:$B$66,,0)</f>
        <v>East</v>
      </c>
      <c r="G46" s="15" t="e" cm="1">
        <f t="array" ref="G46">xl</f>
        <v>#NAME?</v>
      </c>
      <c r="H46" s="15"/>
      <c r="J46" s="2" t="s">
        <v>87</v>
      </c>
      <c r="K46" s="2" t="s">
        <v>87</v>
      </c>
      <c r="L46" s="2" t="s">
        <v>87</v>
      </c>
      <c r="M46" s="11" t="s">
        <v>87</v>
      </c>
      <c r="N46" s="1" t="s">
        <v>90</v>
      </c>
      <c r="O46" s="1"/>
      <c r="P46" s="1"/>
    </row>
    <row r="47" spans="1:22" x14ac:dyDescent="0.3">
      <c r="A47" s="8">
        <v>102</v>
      </c>
      <c r="B47" s="8" t="s">
        <v>6</v>
      </c>
      <c r="C47" s="8" t="s">
        <v>82</v>
      </c>
      <c r="D47" s="8">
        <v>4000</v>
      </c>
      <c r="E47" s="8" t="s">
        <v>83</v>
      </c>
      <c r="F47" s="14" t="str">
        <f t="shared" ref="F47:F55" si="8">_xlfn.XLOOKUP(E47,$A$62:$A$66,$B$62:$B$66,,0)</f>
        <v>West</v>
      </c>
      <c r="G47" s="15"/>
      <c r="H47" s="15"/>
      <c r="J47" s="1" t="str">
        <f>VLOOKUP(A46,A45:E55,2,FALSE)</f>
        <v>John</v>
      </c>
      <c r="K47" s="1" t="str">
        <f>VLOOKUP(A63,A62:B65,2,FALSE)</f>
        <v>East</v>
      </c>
      <c r="L47" s="1" t="str">
        <f>VLOOKUP(A58,A57:C60,2,FALSE)</f>
        <v>Sales</v>
      </c>
      <c r="M47" s="1">
        <f>IFERROR(VLOOKUP(A58,$A$57:$C$60,3,FALSE),"NOT FOUND")</f>
        <v>500</v>
      </c>
      <c r="N47" s="1"/>
      <c r="O47" s="1"/>
      <c r="P47" s="1"/>
    </row>
    <row r="48" spans="1:22" x14ac:dyDescent="0.3">
      <c r="A48" s="8">
        <v>103</v>
      </c>
      <c r="B48" s="8" t="s">
        <v>8</v>
      </c>
      <c r="C48" s="8" t="s">
        <v>84</v>
      </c>
      <c r="D48" s="8">
        <v>5000</v>
      </c>
      <c r="E48" s="8" t="s">
        <v>85</v>
      </c>
      <c r="F48" s="14" t="str">
        <f t="shared" si="8"/>
        <v>North</v>
      </c>
      <c r="G48" s="15"/>
      <c r="H48" s="15"/>
      <c r="J48" s="1" t="str">
        <f>VLOOKUP(A47,A46:E56,2,FALSE)</f>
        <v>Mary</v>
      </c>
      <c r="K48" s="1" t="str">
        <f t="shared" ref="K48:K49" si="9">VLOOKUP(A64,A63:B66,2,FALSE)</f>
        <v>West</v>
      </c>
      <c r="L48" s="1" t="str">
        <f t="shared" ref="L48:L49" si="10">VLOOKUP(A59,A58:C61,2,FALSE)</f>
        <v>HR</v>
      </c>
      <c r="M48" s="1">
        <f t="shared" ref="M48:M55" si="11">IFERROR(VLOOKUP(A59,$A$57:$C$60,3,FALSE),"NOT FOUND")</f>
        <v>300</v>
      </c>
      <c r="N48" s="1"/>
      <c r="O48" s="1"/>
      <c r="P48" s="1"/>
    </row>
    <row r="49" spans="1:16" x14ac:dyDescent="0.3">
      <c r="A49" s="8">
        <v>104</v>
      </c>
      <c r="B49" s="8" t="s">
        <v>10</v>
      </c>
      <c r="C49" s="8" t="s">
        <v>80</v>
      </c>
      <c r="D49" s="8">
        <v>3500</v>
      </c>
      <c r="E49" s="8" t="s">
        <v>81</v>
      </c>
      <c r="F49" s="14" t="str">
        <f t="shared" si="8"/>
        <v>East</v>
      </c>
      <c r="G49" s="15"/>
      <c r="H49" s="15"/>
      <c r="J49" s="1" t="str">
        <f>VLOOKUP(A48,A47:E57,2,FALSE)</f>
        <v>Alex</v>
      </c>
      <c r="K49" s="1" t="str">
        <f t="shared" si="9"/>
        <v>North</v>
      </c>
      <c r="L49" s="1" t="str">
        <f t="shared" si="10"/>
        <v>IT</v>
      </c>
      <c r="M49" s="1">
        <f t="shared" si="11"/>
        <v>700</v>
      </c>
      <c r="N49" s="1"/>
      <c r="O49" s="1"/>
      <c r="P49" s="1"/>
    </row>
    <row r="50" spans="1:16" x14ac:dyDescent="0.3">
      <c r="A50" s="8">
        <v>105</v>
      </c>
      <c r="B50" s="8" t="s">
        <v>11</v>
      </c>
      <c r="C50" s="8" t="s">
        <v>84</v>
      </c>
      <c r="D50" s="8">
        <v>4500</v>
      </c>
      <c r="E50" s="8" t="s">
        <v>86</v>
      </c>
      <c r="F50" s="14" t="str">
        <f t="shared" si="8"/>
        <v>South</v>
      </c>
      <c r="G50" s="15"/>
      <c r="H50" s="15"/>
      <c r="J50" s="1" t="str">
        <f>VLOOKUP(A49,A48:E58,2,FALSE)</f>
        <v>Sara</v>
      </c>
      <c r="K50" s="1"/>
      <c r="L50" s="1"/>
      <c r="M50" s="1" t="str">
        <f t="shared" si="11"/>
        <v>NOT FOUND</v>
      </c>
      <c r="N50" s="1"/>
      <c r="O50" s="1"/>
      <c r="P50" s="1"/>
    </row>
    <row r="51" spans="1:16" x14ac:dyDescent="0.3">
      <c r="A51" s="8">
        <v>106</v>
      </c>
      <c r="B51" s="8" t="s">
        <v>12</v>
      </c>
      <c r="C51" s="8" t="s">
        <v>82</v>
      </c>
      <c r="D51" s="8">
        <v>3800</v>
      </c>
      <c r="E51" s="8" t="s">
        <v>83</v>
      </c>
      <c r="F51" s="14" t="str">
        <f t="shared" si="8"/>
        <v>West</v>
      </c>
      <c r="G51" s="15"/>
      <c r="H51" s="15"/>
      <c r="J51" s="1" t="str">
        <f>VLOOKUP(A50,A49:E59,2,FALSE)</f>
        <v>Tom</v>
      </c>
      <c r="K51" s="1"/>
      <c r="L51" s="1"/>
      <c r="M51" s="1" t="str">
        <f t="shared" si="11"/>
        <v>NOT FOUND</v>
      </c>
      <c r="N51" s="1"/>
      <c r="O51" s="1"/>
      <c r="P51" s="1"/>
    </row>
    <row r="52" spans="1:16" x14ac:dyDescent="0.3">
      <c r="A52" s="8">
        <v>107</v>
      </c>
      <c r="B52" s="8" t="s">
        <v>13</v>
      </c>
      <c r="C52" s="8" t="s">
        <v>80</v>
      </c>
      <c r="D52" s="8">
        <v>3200</v>
      </c>
      <c r="E52" s="8" t="s">
        <v>85</v>
      </c>
      <c r="F52" s="14" t="str">
        <f t="shared" si="8"/>
        <v>North</v>
      </c>
      <c r="G52" s="15"/>
      <c r="H52" s="15"/>
      <c r="J52" s="1" t="str">
        <f>VLOOKUP(A51,A50:E60,2,FALSE)</f>
        <v>Emma</v>
      </c>
      <c r="K52" s="1"/>
      <c r="L52" s="1"/>
      <c r="M52" s="1" t="str">
        <f t="shared" si="11"/>
        <v>NOT FOUND</v>
      </c>
      <c r="N52" s="1"/>
      <c r="O52" s="1"/>
      <c r="P52" s="1"/>
    </row>
    <row r="53" spans="1:16" x14ac:dyDescent="0.3">
      <c r="A53" s="8">
        <v>108</v>
      </c>
      <c r="B53" s="8" t="s">
        <v>14</v>
      </c>
      <c r="C53" s="8" t="s">
        <v>84</v>
      </c>
      <c r="D53" s="8">
        <v>4700</v>
      </c>
      <c r="E53" s="8" t="s">
        <v>81</v>
      </c>
      <c r="F53" s="14" t="str">
        <f t="shared" si="8"/>
        <v>East</v>
      </c>
      <c r="G53" s="15"/>
      <c r="H53" s="15"/>
      <c r="J53" s="1" t="str">
        <f>VLOOKUP(A52,A51:E61,2,FALSE)</f>
        <v>David</v>
      </c>
      <c r="K53" s="1"/>
      <c r="L53" s="1"/>
      <c r="M53" s="1" t="str">
        <f t="shared" si="11"/>
        <v>NOT FOUND</v>
      </c>
      <c r="N53" s="1"/>
      <c r="O53" s="1"/>
      <c r="P53" s="1"/>
    </row>
    <row r="54" spans="1:16" x14ac:dyDescent="0.3">
      <c r="A54" s="8">
        <v>109</v>
      </c>
      <c r="B54" s="8" t="s">
        <v>15</v>
      </c>
      <c r="C54" s="8" t="s">
        <v>82</v>
      </c>
      <c r="D54" s="8">
        <v>4100</v>
      </c>
      <c r="E54" s="8" t="s">
        <v>86</v>
      </c>
      <c r="F54" s="14" t="str">
        <f t="shared" si="8"/>
        <v>South</v>
      </c>
      <c r="G54" s="15"/>
      <c r="H54" s="15"/>
      <c r="J54" s="1" t="str">
        <f>VLOOKUP(A53,A52:E62,2,FALSE)</f>
        <v>Lisa</v>
      </c>
      <c r="K54" s="1"/>
      <c r="L54" s="1"/>
      <c r="M54" s="1" t="str">
        <f t="shared" si="11"/>
        <v>NOT FOUND</v>
      </c>
      <c r="N54" s="1"/>
      <c r="O54" s="1"/>
      <c r="P54" s="1"/>
    </row>
    <row r="55" spans="1:16" x14ac:dyDescent="0.3">
      <c r="A55" s="8">
        <v>110</v>
      </c>
      <c r="B55" s="8" t="s">
        <v>16</v>
      </c>
      <c r="C55" s="8" t="s">
        <v>80</v>
      </c>
      <c r="D55" s="8">
        <v>3600</v>
      </c>
      <c r="E55" s="8" t="s">
        <v>83</v>
      </c>
      <c r="F55" s="14" t="str">
        <f t="shared" si="8"/>
        <v>West</v>
      </c>
      <c r="G55" s="15"/>
      <c r="H55" s="15"/>
      <c r="J55" s="1" t="str">
        <f>VLOOKUP(A54,A53:E63,2,FALSE)</f>
        <v>Chris</v>
      </c>
      <c r="K55" s="1"/>
      <c r="L55" s="1"/>
      <c r="M55" s="1" t="str">
        <f t="shared" si="11"/>
        <v>NOT FOUND</v>
      </c>
      <c r="N55" s="1"/>
      <c r="O55" s="1"/>
      <c r="P55" s="1"/>
    </row>
    <row r="56" spans="1:16" x14ac:dyDescent="0.3">
      <c r="J56" s="1" t="str">
        <f>VLOOKUP(A55,A54:E64,2,FALSE)</f>
        <v>Anna</v>
      </c>
      <c r="K56" s="1"/>
      <c r="L56" s="1"/>
      <c r="M56" s="1"/>
      <c r="N56" s="1"/>
      <c r="O56" s="1"/>
      <c r="P56" s="1"/>
    </row>
    <row r="57" spans="1:16" x14ac:dyDescent="0.3">
      <c r="A57" s="7" t="s">
        <v>78</v>
      </c>
      <c r="B57" s="7" t="s">
        <v>88</v>
      </c>
      <c r="C57" s="7" t="s">
        <v>17</v>
      </c>
    </row>
    <row r="58" spans="1:16" x14ac:dyDescent="0.3">
      <c r="A58" s="8" t="s">
        <v>80</v>
      </c>
      <c r="B58" s="8" t="s">
        <v>3</v>
      </c>
      <c r="C58" s="8">
        <v>500</v>
      </c>
    </row>
    <row r="59" spans="1:16" x14ac:dyDescent="0.3">
      <c r="A59" s="8" t="s">
        <v>82</v>
      </c>
      <c r="B59" s="8" t="s">
        <v>7</v>
      </c>
      <c r="C59" s="8">
        <v>300</v>
      </c>
    </row>
    <row r="60" spans="1:16" x14ac:dyDescent="0.3">
      <c r="A60" s="8" t="s">
        <v>84</v>
      </c>
      <c r="B60" s="8" t="s">
        <v>9</v>
      </c>
      <c r="C60" s="8">
        <v>700</v>
      </c>
    </row>
    <row r="62" spans="1:16" x14ac:dyDescent="0.3">
      <c r="A62" s="7" t="s">
        <v>79</v>
      </c>
      <c r="B62" s="7" t="s">
        <v>89</v>
      </c>
    </row>
    <row r="63" spans="1:16" x14ac:dyDescent="0.3">
      <c r="A63" s="8" t="s">
        <v>81</v>
      </c>
      <c r="B63" s="8" t="s">
        <v>55</v>
      </c>
    </row>
    <row r="64" spans="1:16" x14ac:dyDescent="0.3">
      <c r="A64" s="8" t="s">
        <v>83</v>
      </c>
      <c r="B64" s="8" t="s">
        <v>56</v>
      </c>
    </row>
    <row r="65" spans="1:2" x14ac:dyDescent="0.3">
      <c r="A65" s="8" t="s">
        <v>85</v>
      </c>
      <c r="B65" s="8" t="s">
        <v>57</v>
      </c>
    </row>
    <row r="66" spans="1:2" x14ac:dyDescent="0.3">
      <c r="A66" s="8" t="s">
        <v>86</v>
      </c>
      <c r="B66" s="8" t="s">
        <v>58</v>
      </c>
    </row>
  </sheetData>
  <mergeCells count="4">
    <mergeCell ref="J39:V39"/>
    <mergeCell ref="J44:V44"/>
    <mergeCell ref="J2:R2"/>
    <mergeCell ref="J23:V23"/>
  </mergeCells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Aarsh Vanjari</cp:lastModifiedBy>
  <dcterms:created xsi:type="dcterms:W3CDTF">2026-04-30T18:55:42Z</dcterms:created>
  <dcterms:modified xsi:type="dcterms:W3CDTF">2026-04-30T20:43:59Z</dcterms:modified>
</cp:coreProperties>
</file>