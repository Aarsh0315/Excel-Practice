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SH VANJARI\OneDrive\Desktop\"/>
    </mc:Choice>
  </mc:AlternateContent>
  <xr:revisionPtr revIDLastSave="0" documentId="13_ncr:1_{FC6750D5-2CEF-435C-B5C0-55B96C714A6F}" xr6:coauthVersionLast="47" xr6:coauthVersionMax="47" xr10:uidLastSave="{00000000-0000-0000-0000-000000000000}"/>
  <bookViews>
    <workbookView xWindow="-108" yWindow="-108" windowWidth="23256" windowHeight="12456" xr2:uid="{593895C3-7FCD-41AF-AD83-00B143369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8" i="1" l="1"/>
  <c r="K109" i="1"/>
  <c r="K110" i="1"/>
  <c r="K111" i="1"/>
  <c r="K107" i="1"/>
  <c r="J108" i="1"/>
  <c r="J109" i="1"/>
  <c r="J110" i="1"/>
  <c r="J111" i="1"/>
  <c r="J107" i="1"/>
  <c r="I108" i="1"/>
  <c r="I109" i="1"/>
  <c r="I110" i="1"/>
  <c r="I111" i="1"/>
  <c r="I107" i="1"/>
  <c r="H108" i="1"/>
  <c r="H109" i="1"/>
  <c r="H110" i="1"/>
  <c r="H111" i="1"/>
  <c r="H107" i="1"/>
  <c r="G107" i="1"/>
  <c r="G108" i="1"/>
  <c r="G110" i="1"/>
  <c r="G111" i="1"/>
  <c r="G109" i="1"/>
  <c r="H100" i="1"/>
  <c r="H101" i="1"/>
  <c r="H102" i="1"/>
  <c r="H103" i="1"/>
  <c r="H99" i="1"/>
  <c r="G100" i="1"/>
  <c r="G101" i="1"/>
  <c r="G102" i="1"/>
  <c r="G103" i="1"/>
  <c r="G99" i="1"/>
  <c r="G89" i="1"/>
  <c r="G90" i="1"/>
  <c r="G91" i="1"/>
  <c r="G92" i="1"/>
  <c r="G88" i="1"/>
  <c r="H72" i="1"/>
  <c r="H70" i="1"/>
  <c r="H68" i="1"/>
  <c r="H66" i="1"/>
  <c r="H64" i="1"/>
  <c r="L47" i="1"/>
  <c r="K47" i="1"/>
  <c r="J47" i="1"/>
  <c r="I47" i="1"/>
  <c r="H47" i="1"/>
  <c r="G48" i="1"/>
  <c r="G49" i="1"/>
  <c r="G50" i="1"/>
  <c r="G51" i="1"/>
  <c r="G52" i="1"/>
  <c r="G53" i="1"/>
  <c r="G54" i="1"/>
  <c r="G55" i="1"/>
  <c r="G56" i="1"/>
  <c r="G47" i="1"/>
  <c r="L33" i="1"/>
  <c r="L34" i="1"/>
  <c r="L35" i="1"/>
  <c r="L36" i="1"/>
  <c r="L37" i="1"/>
  <c r="L38" i="1"/>
  <c r="L39" i="1"/>
  <c r="L40" i="1"/>
  <c r="L41" i="1"/>
  <c r="L32" i="1"/>
  <c r="K33" i="1"/>
  <c r="K34" i="1"/>
  <c r="K35" i="1"/>
  <c r="K36" i="1"/>
  <c r="K37" i="1"/>
  <c r="K38" i="1"/>
  <c r="K39" i="1"/>
  <c r="K40" i="1"/>
  <c r="K41" i="1"/>
  <c r="K32" i="1"/>
  <c r="J32" i="1"/>
  <c r="I32" i="1"/>
  <c r="H33" i="1"/>
  <c r="H34" i="1"/>
  <c r="H35" i="1"/>
  <c r="H36" i="1"/>
  <c r="H37" i="1"/>
  <c r="H38" i="1"/>
  <c r="H39" i="1"/>
  <c r="H40" i="1"/>
  <c r="H41" i="1"/>
  <c r="H32" i="1"/>
  <c r="G33" i="1"/>
  <c r="G34" i="1"/>
  <c r="G35" i="1"/>
  <c r="G36" i="1"/>
  <c r="G37" i="1"/>
  <c r="G38" i="1"/>
  <c r="G39" i="1"/>
  <c r="G40" i="1"/>
  <c r="G41" i="1"/>
  <c r="G32" i="1"/>
  <c r="H21" i="1" a="1"/>
  <c r="H21" i="1" s="1"/>
  <c r="G21" i="1"/>
  <c r="F21" i="1"/>
  <c r="E21" i="1" a="1"/>
  <c r="E21" i="1" s="1"/>
  <c r="D21" i="1" a="1"/>
  <c r="D21" i="1" s="1"/>
  <c r="H10" i="1" a="1"/>
  <c r="H10" i="1" s="1"/>
  <c r="G10" i="1" a="1"/>
  <c r="G10" i="1" s="1"/>
  <c r="F10" i="1" a="1"/>
  <c r="F10" i="1" s="1"/>
  <c r="E10" i="1" a="1"/>
  <c r="E10" i="1" s="1"/>
  <c r="D10" i="1" a="1"/>
  <c r="D10" i="1" s="1"/>
  <c r="H3" i="1"/>
  <c r="G3" i="1"/>
  <c r="F3" i="1"/>
  <c r="E3" i="1"/>
  <c r="D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<sst xmlns="http://schemas.openxmlformats.org/spreadsheetml/2006/main" count="227" uniqueCount="101">
  <si>
    <t>Values</t>
  </si>
  <si>
    <t>Sum</t>
  </si>
  <si>
    <t>Average</t>
  </si>
  <si>
    <t>Max</t>
  </si>
  <si>
    <t>Min</t>
  </si>
  <si>
    <t>Count</t>
  </si>
  <si>
    <t>Name</t>
  </si>
  <si>
    <t>aarsh</t>
  </si>
  <si>
    <t>raj</t>
  </si>
  <si>
    <t>vaishali</t>
  </si>
  <si>
    <t>mehak</t>
  </si>
  <si>
    <t>soniya</t>
  </si>
  <si>
    <t>jigar</t>
  </si>
  <si>
    <t>sumit</t>
  </si>
  <si>
    <t>aditya</t>
  </si>
  <si>
    <t>Upper</t>
  </si>
  <si>
    <t>Lower</t>
  </si>
  <si>
    <t>Proper</t>
  </si>
  <si>
    <t>Mid</t>
  </si>
  <si>
    <t>Sqrt</t>
  </si>
  <si>
    <t>Length</t>
  </si>
  <si>
    <t>Excel Fuction 1</t>
  </si>
  <si>
    <t>Excel Fuction 2</t>
  </si>
  <si>
    <t>Excel Fuction 3</t>
  </si>
  <si>
    <t>Power</t>
  </si>
  <si>
    <t>First Name</t>
  </si>
  <si>
    <t>Last Name</t>
  </si>
  <si>
    <t>Department</t>
  </si>
  <si>
    <t>Sales</t>
  </si>
  <si>
    <t>Target Achieved</t>
  </si>
  <si>
    <t>Alice</t>
  </si>
  <si>
    <t>Smith</t>
  </si>
  <si>
    <t>HR</t>
  </si>
  <si>
    <t>Yes</t>
  </si>
  <si>
    <t>Bob</t>
  </si>
  <si>
    <t>Johnson</t>
  </si>
  <si>
    <t>IT</t>
  </si>
  <si>
    <t>No</t>
  </si>
  <si>
    <t>Charlie</t>
  </si>
  <si>
    <t>Brown</t>
  </si>
  <si>
    <t>Finance</t>
  </si>
  <si>
    <t>David</t>
  </si>
  <si>
    <t>White</t>
  </si>
  <si>
    <t>Eva</t>
  </si>
  <si>
    <t>Clark</t>
  </si>
  <si>
    <t>Frank</t>
  </si>
  <si>
    <t>Taylor</t>
  </si>
  <si>
    <t>Grace</t>
  </si>
  <si>
    <t>Evans</t>
  </si>
  <si>
    <t>Hannah</t>
  </si>
  <si>
    <t>Martin</t>
  </si>
  <si>
    <t>Ivan</t>
  </si>
  <si>
    <t>Lee</t>
  </si>
  <si>
    <t>Jack</t>
  </si>
  <si>
    <t>Walker</t>
  </si>
  <si>
    <t>Concat 1</t>
  </si>
  <si>
    <t>Concat 2</t>
  </si>
  <si>
    <t>Count IF</t>
  </si>
  <si>
    <t>IF</t>
  </si>
  <si>
    <t>Excel Fuction 4</t>
  </si>
  <si>
    <t>Excel Fuction 5</t>
  </si>
  <si>
    <t>Nested IF</t>
  </si>
  <si>
    <t>Date</t>
  </si>
  <si>
    <t>Product</t>
  </si>
  <si>
    <t>Salesperson</t>
  </si>
  <si>
    <t>Units Sold</t>
  </si>
  <si>
    <t>Revenue</t>
  </si>
  <si>
    <t>Widget A</t>
  </si>
  <si>
    <t>Widget B</t>
  </si>
  <si>
    <t>Carol</t>
  </si>
  <si>
    <t>Widget C</t>
  </si>
  <si>
    <t>Sum IF</t>
  </si>
  <si>
    <t>Avg IF</t>
  </si>
  <si>
    <t>Max IFS</t>
  </si>
  <si>
    <t>Min IFS</t>
  </si>
  <si>
    <t>Excel Function 6</t>
  </si>
  <si>
    <t>Sumifs</t>
  </si>
  <si>
    <t>Maxifs</t>
  </si>
  <si>
    <t>Avgifs</t>
  </si>
  <si>
    <t>Countifs</t>
  </si>
  <si>
    <t>Minifs</t>
  </si>
  <si>
    <t>Data 1</t>
  </si>
  <si>
    <t>Student ID</t>
  </si>
  <si>
    <t>Age</t>
  </si>
  <si>
    <t>Grade</t>
  </si>
  <si>
    <t>S001</t>
  </si>
  <si>
    <t>S002</t>
  </si>
  <si>
    <t>S003</t>
  </si>
  <si>
    <t>S004</t>
  </si>
  <si>
    <t>S005</t>
  </si>
  <si>
    <t>Data 2</t>
  </si>
  <si>
    <t>Course</t>
  </si>
  <si>
    <t>Introduction to Data Science and Machine Learning</t>
  </si>
  <si>
    <t>Full-Stack Web Development Bootcamp</t>
  </si>
  <si>
    <t>Cybersecurity Essentials: Protecting Digital Assets</t>
  </si>
  <si>
    <t>Advanced Excel and Data Analysis</t>
  </si>
  <si>
    <t>Cloud Computing with AWS and Azure</t>
  </si>
  <si>
    <t>Excel Function 7</t>
  </si>
  <si>
    <t>Vlookup</t>
  </si>
  <si>
    <t>Xlookup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</si>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</sst>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1" fontId="0" fillId="0" borderId="2" xfId="0" applyNumberFormat="1" applyBorder="1" applyAlignment="1">
      <alignment horizontal="center" vertical="top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3" borderId="0" xfId="0" applyFill="1"/>
    <xf numFmtId="0" fontId="2" fillId="3" borderId="2" xfId="0" applyFont="1" applyFill="1" applyBorder="1" applyAlignment="1">
      <alignment horizontal="center" vertical="center" wrapText="1"/>
    </xf>
    <xf numFmtId="14" fontId="0" fillId="3" borderId="2" xfId="0" applyNumberForma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164" fontId="0" fillId="3" borderId="2" xfId="0" applyNumberFormat="1" applyFill="1" applyBorder="1" applyAlignment="1">
      <alignment horizontal="center" vertical="center" wrapText="1"/>
    </xf>
    <xf numFmtId="0" fontId="1" fillId="2" borderId="0" xfId="1" applyBorder="1" applyAlignment="1">
      <alignment horizontal="center"/>
    </xf>
    <xf numFmtId="0" fontId="1" fillId="2" borderId="1" xfId="1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F1125-46CE-43BC-9937-94A06F9AF3D1}">
  <dimension ref="A1:N111"/>
  <sheetViews>
    <sheetView tabSelected="1" topLeftCell="A86" workbookViewId="0">
      <selection activeCell="K107" sqref="K107"/>
    </sheetView>
  </sheetViews>
  <sheetFormatPr defaultRowHeight="14.4" x14ac:dyDescent="0.3"/>
  <cols>
    <col min="1" max="1" width="10.33203125" bestFit="1" customWidth="1"/>
    <col min="2" max="2" width="43.33203125" bestFit="1" customWidth="1"/>
    <col min="3" max="3" width="11.109375" bestFit="1" customWidth="1"/>
    <col min="4" max="4" width="12" bestFit="1" customWidth="1"/>
    <col min="5" max="5" width="14.6640625" bestFit="1" customWidth="1"/>
    <col min="7" max="7" width="43.33203125" bestFit="1" customWidth="1"/>
  </cols>
  <sheetData>
    <row r="1" spans="1:8" ht="15.6" x14ac:dyDescent="0.3">
      <c r="A1" s="6" t="s">
        <v>0</v>
      </c>
      <c r="D1" s="15" t="s">
        <v>21</v>
      </c>
      <c r="E1" s="15"/>
      <c r="F1" s="15"/>
      <c r="G1" s="15"/>
      <c r="H1" s="15"/>
    </row>
    <row r="2" spans="1:8" x14ac:dyDescent="0.3">
      <c r="A2" s="1">
        <v>12</v>
      </c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</row>
    <row r="3" spans="1:8" x14ac:dyDescent="0.3">
      <c r="A3" s="1">
        <v>33</v>
      </c>
      <c r="D3" s="3">
        <f>SUM(A2:A7)</f>
        <v>513</v>
      </c>
      <c r="E3" s="3">
        <f>AVERAGE(A2:A7)</f>
        <v>85.5</v>
      </c>
      <c r="F3" s="3">
        <f>MAX(A2:A7)</f>
        <v>313</v>
      </c>
      <c r="G3" s="3">
        <f>MIN(A2:A7)</f>
        <v>12</v>
      </c>
      <c r="H3" s="2">
        <f>COUNT(A2:A7)</f>
        <v>6</v>
      </c>
    </row>
    <row r="4" spans="1:8" x14ac:dyDescent="0.3">
      <c r="A4" s="1">
        <v>12</v>
      </c>
    </row>
    <row r="5" spans="1:8" x14ac:dyDescent="0.3">
      <c r="A5" s="1">
        <v>131</v>
      </c>
    </row>
    <row r="6" spans="1:8" x14ac:dyDescent="0.3">
      <c r="A6" s="1">
        <v>313</v>
      </c>
    </row>
    <row r="7" spans="1:8" x14ac:dyDescent="0.3">
      <c r="A7" s="1">
        <v>12</v>
      </c>
    </row>
    <row r="8" spans="1:8" x14ac:dyDescent="0.3">
      <c r="D8" s="15" t="s">
        <v>22</v>
      </c>
      <c r="E8" s="15"/>
      <c r="F8" s="15"/>
      <c r="G8" s="15"/>
      <c r="H8" s="15"/>
    </row>
    <row r="9" spans="1:8" s="7" customFormat="1" x14ac:dyDescent="0.3">
      <c r="A9" s="5" t="s">
        <v>6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20</v>
      </c>
    </row>
    <row r="10" spans="1:8" x14ac:dyDescent="0.3">
      <c r="A10" s="2" t="s">
        <v>7</v>
      </c>
      <c r="D10" s="2" t="str" cm="1">
        <f t="array" ref="D10:D17">UPPER(A10:A17)</f>
        <v>AARSH</v>
      </c>
      <c r="E10" s="2" t="str" cm="1">
        <f t="array" ref="E10:E17">LOWER(A10:A17)</f>
        <v>aarsh</v>
      </c>
      <c r="F10" s="2" t="str" cm="1">
        <f t="array" ref="F10:F17">PROPER(A10:A17)</f>
        <v>Aarsh</v>
      </c>
      <c r="G10" s="2" t="str" cm="1">
        <f t="array" ref="G10:G17">MID(A10:A17,1,3)</f>
        <v>aar</v>
      </c>
      <c r="H10" s="2" cm="1">
        <f t="array" ref="H10:H17">LEN(A10:A17)</f>
        <v>5</v>
      </c>
    </row>
    <row r="11" spans="1:8" x14ac:dyDescent="0.3">
      <c r="A11" s="2" t="s">
        <v>8</v>
      </c>
      <c r="D11" s="2" t="str">
        <v>RAJ</v>
      </c>
      <c r="E11" s="2" t="str">
        <v>raj</v>
      </c>
      <c r="F11" s="2" t="str">
        <v>Raj</v>
      </c>
      <c r="G11" s="2" t="str">
        <v>raj</v>
      </c>
      <c r="H11" s="2">
        <v>3</v>
      </c>
    </row>
    <row r="12" spans="1:8" x14ac:dyDescent="0.3">
      <c r="A12" s="2" t="s">
        <v>9</v>
      </c>
      <c r="D12" s="2" t="str">
        <v>VAISHALI</v>
      </c>
      <c r="E12" s="2" t="str">
        <v>vaishali</v>
      </c>
      <c r="F12" s="2" t="str">
        <v>Vaishali</v>
      </c>
      <c r="G12" s="2" t="str">
        <v>vai</v>
      </c>
      <c r="H12" s="2">
        <v>8</v>
      </c>
    </row>
    <row r="13" spans="1:8" x14ac:dyDescent="0.3">
      <c r="A13" s="2" t="s">
        <v>10</v>
      </c>
      <c r="D13" s="2" t="str">
        <v>MEHAK</v>
      </c>
      <c r="E13" s="2" t="str">
        <v>mehak</v>
      </c>
      <c r="F13" s="2" t="str">
        <v>Mehak</v>
      </c>
      <c r="G13" s="2" t="str">
        <v>meh</v>
      </c>
      <c r="H13" s="2">
        <v>5</v>
      </c>
    </row>
    <row r="14" spans="1:8" x14ac:dyDescent="0.3">
      <c r="A14" s="2" t="s">
        <v>11</v>
      </c>
      <c r="D14" s="2" t="str">
        <v>SONIYA</v>
      </c>
      <c r="E14" s="2" t="str">
        <v>soniya</v>
      </c>
      <c r="F14" s="2" t="str">
        <v>Soniya</v>
      </c>
      <c r="G14" s="2" t="str">
        <v>son</v>
      </c>
      <c r="H14" s="2">
        <v>6</v>
      </c>
    </row>
    <row r="15" spans="1:8" x14ac:dyDescent="0.3">
      <c r="A15" s="2" t="s">
        <v>12</v>
      </c>
      <c r="D15" s="2" t="str">
        <v>JIGAR</v>
      </c>
      <c r="E15" s="2" t="str">
        <v>jigar</v>
      </c>
      <c r="F15" s="2" t="str">
        <v>Jigar</v>
      </c>
      <c r="G15" s="2" t="str">
        <v>jig</v>
      </c>
      <c r="H15" s="2">
        <v>5</v>
      </c>
    </row>
    <row r="16" spans="1:8" x14ac:dyDescent="0.3">
      <c r="A16" s="2" t="s">
        <v>13</v>
      </c>
      <c r="D16" s="2" t="str">
        <v>SUMIT</v>
      </c>
      <c r="E16" s="2" t="str">
        <v>sumit</v>
      </c>
      <c r="F16" s="2" t="str">
        <v>Sumit</v>
      </c>
      <c r="G16" s="2" t="str">
        <v>sum</v>
      </c>
      <c r="H16" s="2">
        <v>5</v>
      </c>
    </row>
    <row r="17" spans="1:14" x14ac:dyDescent="0.3">
      <c r="A17" s="2" t="s">
        <v>14</v>
      </c>
      <c r="D17" s="2" t="str">
        <v>ADITYA</v>
      </c>
      <c r="E17" s="2" t="str">
        <v>aditya</v>
      </c>
      <c r="F17" s="2" t="str">
        <v>Aditya</v>
      </c>
      <c r="G17" s="2" t="str">
        <v>adi</v>
      </c>
      <c r="H17" s="2">
        <v>6</v>
      </c>
    </row>
    <row r="19" spans="1:14" x14ac:dyDescent="0.3">
      <c r="D19" s="15" t="s">
        <v>23</v>
      </c>
      <c r="E19" s="15"/>
      <c r="F19" s="15"/>
      <c r="G19" s="15"/>
      <c r="H19" s="15"/>
    </row>
    <row r="20" spans="1:14" s="7" customFormat="1" x14ac:dyDescent="0.3">
      <c r="A20" s="5" t="s">
        <v>0</v>
      </c>
      <c r="D20" s="5" t="s">
        <v>19</v>
      </c>
      <c r="E20" s="5" t="s">
        <v>24</v>
      </c>
      <c r="F20" s="5" t="s">
        <v>5</v>
      </c>
      <c r="G20" s="5" t="s">
        <v>3</v>
      </c>
      <c r="H20" s="5" t="s">
        <v>20</v>
      </c>
    </row>
    <row r="21" spans="1:14" x14ac:dyDescent="0.3">
      <c r="A21" s="2">
        <v>12</v>
      </c>
      <c r="D21" s="2" cm="1">
        <f t="array" ref="D21:D27">SQRT(A21:A27)</f>
        <v>3.4641016151377544</v>
      </c>
      <c r="E21" s="2" cm="1">
        <f t="array" ref="E21:E27">POWER(A21:A27,2)</f>
        <v>144</v>
      </c>
      <c r="F21" s="2">
        <f>COUNT(A21:A27)</f>
        <v>7</v>
      </c>
      <c r="G21" s="2">
        <f>MAX(A21:A27)</f>
        <v>245</v>
      </c>
      <c r="H21" s="2" cm="1">
        <f t="array" ref="H21:H27">LEN(A21:A27)</f>
        <v>2</v>
      </c>
    </row>
    <row r="22" spans="1:14" x14ac:dyDescent="0.3">
      <c r="A22" s="2">
        <v>121</v>
      </c>
      <c r="D22" s="2">
        <v>11</v>
      </c>
      <c r="E22" s="2">
        <v>14641</v>
      </c>
      <c r="F22" s="2"/>
      <c r="G22" s="2"/>
      <c r="H22" s="2">
        <v>3</v>
      </c>
    </row>
    <row r="23" spans="1:14" x14ac:dyDescent="0.3">
      <c r="A23" s="2">
        <v>24</v>
      </c>
      <c r="D23" s="2">
        <v>4.8989794855663558</v>
      </c>
      <c r="E23" s="2">
        <v>576</v>
      </c>
      <c r="F23" s="2"/>
      <c r="G23" s="2"/>
      <c r="H23" s="2">
        <v>2</v>
      </c>
    </row>
    <row r="24" spans="1:14" x14ac:dyDescent="0.3">
      <c r="A24" s="2">
        <v>125</v>
      </c>
      <c r="D24" s="2">
        <v>11.180339887498949</v>
      </c>
      <c r="E24" s="2">
        <v>15625</v>
      </c>
      <c r="F24" s="2"/>
      <c r="G24" s="2"/>
      <c r="H24" s="2">
        <v>3</v>
      </c>
    </row>
    <row r="25" spans="1:14" x14ac:dyDescent="0.3">
      <c r="A25" s="2">
        <v>30</v>
      </c>
      <c r="D25" s="2">
        <v>5.4772255750516612</v>
      </c>
      <c r="E25" s="2">
        <v>900</v>
      </c>
      <c r="F25" s="2"/>
      <c r="G25" s="2"/>
      <c r="H25" s="2">
        <v>2</v>
      </c>
    </row>
    <row r="26" spans="1:14" x14ac:dyDescent="0.3">
      <c r="A26" s="2">
        <v>155</v>
      </c>
      <c r="D26" s="2">
        <v>12.449899597988733</v>
      </c>
      <c r="E26" s="2">
        <v>24025</v>
      </c>
      <c r="F26" s="2"/>
      <c r="G26" s="2"/>
      <c r="H26" s="2">
        <v>3</v>
      </c>
    </row>
    <row r="27" spans="1:14" x14ac:dyDescent="0.3">
      <c r="A27" s="2">
        <v>245</v>
      </c>
      <c r="D27" s="2">
        <v>15.652475842498529</v>
      </c>
      <c r="E27" s="2">
        <v>60025</v>
      </c>
      <c r="F27" s="2"/>
      <c r="G27" s="2"/>
      <c r="H27" s="2">
        <v>3</v>
      </c>
    </row>
    <row r="30" spans="1:14" x14ac:dyDescent="0.3">
      <c r="G30" s="15" t="s">
        <v>59</v>
      </c>
      <c r="H30" s="15"/>
      <c r="I30" s="15"/>
      <c r="J30" s="15"/>
      <c r="K30" s="15"/>
      <c r="L30" s="15"/>
    </row>
    <row r="31" spans="1:14" s="7" customFormat="1" x14ac:dyDescent="0.3">
      <c r="A31" s="5" t="s">
        <v>25</v>
      </c>
      <c r="B31" s="5" t="s">
        <v>26</v>
      </c>
      <c r="C31" s="5" t="s">
        <v>27</v>
      </c>
      <c r="D31" s="5" t="s">
        <v>28</v>
      </c>
      <c r="E31" s="5" t="s">
        <v>29</v>
      </c>
      <c r="G31" s="5" t="s">
        <v>55</v>
      </c>
      <c r="H31" s="5" t="s">
        <v>56</v>
      </c>
      <c r="I31" s="5" t="s">
        <v>57</v>
      </c>
      <c r="J31" s="5" t="s">
        <v>57</v>
      </c>
      <c r="K31" s="5" t="s">
        <v>58</v>
      </c>
      <c r="L31" s="5" t="s">
        <v>58</v>
      </c>
      <c r="M31" s="8"/>
      <c r="N31" s="8"/>
    </row>
    <row r="32" spans="1:14" x14ac:dyDescent="0.3">
      <c r="A32" s="2" t="s">
        <v>30</v>
      </c>
      <c r="B32" s="2" t="s">
        <v>31</v>
      </c>
      <c r="C32" s="2" t="s">
        <v>32</v>
      </c>
      <c r="D32" s="2">
        <v>150</v>
      </c>
      <c r="E32" s="2" t="s">
        <v>33</v>
      </c>
      <c r="G32" s="2" t="str">
        <f>_xlfn.CONCAT(D32,E32)</f>
        <v>150Yes</v>
      </c>
      <c r="H32" s="2" t="str">
        <f>_xlfn.CONCAT(D32,"-",E32)</f>
        <v>150-Yes</v>
      </c>
      <c r="I32" s="2">
        <f>COUNTIF(E32:E41,"Yes")</f>
        <v>6</v>
      </c>
      <c r="J32" s="2">
        <f>COUNTIF(E32:E41,"No")</f>
        <v>4</v>
      </c>
      <c r="K32" s="2" t="str">
        <f>IF(C32="HR","T","F")</f>
        <v>T</v>
      </c>
      <c r="L32" s="2">
        <f>IF(C32="HR",IF(E32="Yes",5,1),3)</f>
        <v>5</v>
      </c>
      <c r="M32" s="4"/>
      <c r="N32" s="4"/>
    </row>
    <row r="33" spans="1:14" x14ac:dyDescent="0.3">
      <c r="A33" s="2" t="s">
        <v>34</v>
      </c>
      <c r="B33" s="2" t="s">
        <v>35</v>
      </c>
      <c r="C33" s="2" t="s">
        <v>36</v>
      </c>
      <c r="D33" s="2">
        <v>200</v>
      </c>
      <c r="E33" s="2" t="s">
        <v>37</v>
      </c>
      <c r="G33" s="2" t="str">
        <f t="shared" ref="G33:G41" si="0">_xlfn.CONCAT(D33,E33)</f>
        <v>200No</v>
      </c>
      <c r="H33" s="2" t="str">
        <f t="shared" ref="H33:H41" si="1">_xlfn.CONCAT(D33,"-",E33)</f>
        <v>200-No</v>
      </c>
      <c r="I33" s="2"/>
      <c r="J33" s="2"/>
      <c r="K33" s="2" t="str">
        <f t="shared" ref="K33:K41" si="2">IF(C33="HR","T","F")</f>
        <v>F</v>
      </c>
      <c r="L33" s="2">
        <f t="shared" ref="L33:L41" si="3">IF(C33="HR",IF(E33="Yes",5,1),3)</f>
        <v>3</v>
      </c>
      <c r="M33" s="4"/>
      <c r="N33" s="4"/>
    </row>
    <row r="34" spans="1:14" x14ac:dyDescent="0.3">
      <c r="A34" s="2" t="s">
        <v>38</v>
      </c>
      <c r="B34" s="2" t="s">
        <v>39</v>
      </c>
      <c r="C34" s="2" t="s">
        <v>40</v>
      </c>
      <c r="D34" s="2">
        <v>180</v>
      </c>
      <c r="E34" s="2" t="s">
        <v>33</v>
      </c>
      <c r="G34" s="2" t="str">
        <f t="shared" si="0"/>
        <v>180Yes</v>
      </c>
      <c r="H34" s="2" t="str">
        <f t="shared" si="1"/>
        <v>180-Yes</v>
      </c>
      <c r="I34" s="2"/>
      <c r="J34" s="2"/>
      <c r="K34" s="2" t="str">
        <f t="shared" si="2"/>
        <v>F</v>
      </c>
      <c r="L34" s="2">
        <f t="shared" si="3"/>
        <v>3</v>
      </c>
      <c r="M34" s="4"/>
      <c r="N34" s="4"/>
    </row>
    <row r="35" spans="1:14" x14ac:dyDescent="0.3">
      <c r="A35" s="2" t="s">
        <v>41</v>
      </c>
      <c r="B35" s="2" t="s">
        <v>42</v>
      </c>
      <c r="C35" s="2" t="s">
        <v>36</v>
      </c>
      <c r="D35" s="2">
        <v>220</v>
      </c>
      <c r="E35" s="2" t="s">
        <v>33</v>
      </c>
      <c r="G35" s="2" t="str">
        <f t="shared" si="0"/>
        <v>220Yes</v>
      </c>
      <c r="H35" s="2" t="str">
        <f t="shared" si="1"/>
        <v>220-Yes</v>
      </c>
      <c r="I35" s="2"/>
      <c r="J35" s="2"/>
      <c r="K35" s="2" t="str">
        <f t="shared" si="2"/>
        <v>F</v>
      </c>
      <c r="L35" s="2">
        <f t="shared" si="3"/>
        <v>3</v>
      </c>
      <c r="M35" s="4"/>
      <c r="N35" s="4"/>
    </row>
    <row r="36" spans="1:14" x14ac:dyDescent="0.3">
      <c r="A36" s="2" t="s">
        <v>43</v>
      </c>
      <c r="B36" s="2" t="s">
        <v>44</v>
      </c>
      <c r="C36" s="2" t="s">
        <v>32</v>
      </c>
      <c r="D36" s="2">
        <v>170</v>
      </c>
      <c r="E36" s="2" t="s">
        <v>37</v>
      </c>
      <c r="G36" s="2" t="str">
        <f t="shared" si="0"/>
        <v>170No</v>
      </c>
      <c r="H36" s="2" t="str">
        <f t="shared" si="1"/>
        <v>170-No</v>
      </c>
      <c r="I36" s="2"/>
      <c r="J36" s="2"/>
      <c r="K36" s="2" t="str">
        <f t="shared" si="2"/>
        <v>T</v>
      </c>
      <c r="L36" s="2">
        <f t="shared" si="3"/>
        <v>1</v>
      </c>
      <c r="M36" s="4"/>
      <c r="N36" s="4"/>
    </row>
    <row r="37" spans="1:14" x14ac:dyDescent="0.3">
      <c r="A37" s="2" t="s">
        <v>45</v>
      </c>
      <c r="B37" s="2" t="s">
        <v>46</v>
      </c>
      <c r="C37" s="2" t="s">
        <v>40</v>
      </c>
      <c r="D37" s="2">
        <v>210</v>
      </c>
      <c r="E37" s="2" t="s">
        <v>33</v>
      </c>
      <c r="G37" s="2" t="str">
        <f t="shared" si="0"/>
        <v>210Yes</v>
      </c>
      <c r="H37" s="2" t="str">
        <f t="shared" si="1"/>
        <v>210-Yes</v>
      </c>
      <c r="I37" s="2"/>
      <c r="J37" s="2"/>
      <c r="K37" s="2" t="str">
        <f t="shared" si="2"/>
        <v>F</v>
      </c>
      <c r="L37" s="2">
        <f t="shared" si="3"/>
        <v>3</v>
      </c>
      <c r="M37" s="4"/>
      <c r="N37" s="4"/>
    </row>
    <row r="38" spans="1:14" x14ac:dyDescent="0.3">
      <c r="A38" s="2" t="s">
        <v>47</v>
      </c>
      <c r="B38" s="2" t="s">
        <v>48</v>
      </c>
      <c r="C38" s="2" t="s">
        <v>36</v>
      </c>
      <c r="D38" s="2">
        <v>230</v>
      </c>
      <c r="E38" s="2" t="s">
        <v>33</v>
      </c>
      <c r="G38" s="2" t="str">
        <f t="shared" si="0"/>
        <v>230Yes</v>
      </c>
      <c r="H38" s="2" t="str">
        <f t="shared" si="1"/>
        <v>230-Yes</v>
      </c>
      <c r="I38" s="2"/>
      <c r="J38" s="2"/>
      <c r="K38" s="2" t="str">
        <f t="shared" si="2"/>
        <v>F</v>
      </c>
      <c r="L38" s="2">
        <f t="shared" si="3"/>
        <v>3</v>
      </c>
      <c r="M38" s="4"/>
      <c r="N38" s="4"/>
    </row>
    <row r="39" spans="1:14" x14ac:dyDescent="0.3">
      <c r="A39" s="2" t="s">
        <v>49</v>
      </c>
      <c r="B39" s="2" t="s">
        <v>50</v>
      </c>
      <c r="C39" s="2" t="s">
        <v>32</v>
      </c>
      <c r="D39" s="2">
        <v>160</v>
      </c>
      <c r="E39" s="2" t="s">
        <v>37</v>
      </c>
      <c r="G39" s="2" t="str">
        <f t="shared" si="0"/>
        <v>160No</v>
      </c>
      <c r="H39" s="2" t="str">
        <f t="shared" si="1"/>
        <v>160-No</v>
      </c>
      <c r="I39" s="2"/>
      <c r="J39" s="2"/>
      <c r="K39" s="2" t="str">
        <f t="shared" si="2"/>
        <v>T</v>
      </c>
      <c r="L39" s="2">
        <f t="shared" si="3"/>
        <v>1</v>
      </c>
      <c r="M39" s="4"/>
      <c r="N39" s="4"/>
    </row>
    <row r="40" spans="1:14" x14ac:dyDescent="0.3">
      <c r="A40" s="2" t="s">
        <v>51</v>
      </c>
      <c r="B40" s="2" t="s">
        <v>52</v>
      </c>
      <c r="C40" s="2" t="s">
        <v>40</v>
      </c>
      <c r="D40" s="2">
        <v>200</v>
      </c>
      <c r="E40" s="2" t="s">
        <v>33</v>
      </c>
      <c r="G40" s="2" t="str">
        <f t="shared" si="0"/>
        <v>200Yes</v>
      </c>
      <c r="H40" s="2" t="str">
        <f t="shared" si="1"/>
        <v>200-Yes</v>
      </c>
      <c r="I40" s="2"/>
      <c r="J40" s="2"/>
      <c r="K40" s="2" t="str">
        <f t="shared" si="2"/>
        <v>F</v>
      </c>
      <c r="L40" s="2">
        <f t="shared" si="3"/>
        <v>3</v>
      </c>
      <c r="M40" s="4"/>
      <c r="N40" s="4"/>
    </row>
    <row r="41" spans="1:14" x14ac:dyDescent="0.3">
      <c r="A41" s="2" t="s">
        <v>53</v>
      </c>
      <c r="B41" s="2" t="s">
        <v>54</v>
      </c>
      <c r="C41" s="2" t="s">
        <v>36</v>
      </c>
      <c r="D41" s="2">
        <v>190</v>
      </c>
      <c r="E41" s="2" t="s">
        <v>37</v>
      </c>
      <c r="G41" s="2" t="str">
        <f t="shared" si="0"/>
        <v>190No</v>
      </c>
      <c r="H41" s="2" t="str">
        <f t="shared" si="1"/>
        <v>190-No</v>
      </c>
      <c r="I41" s="2"/>
      <c r="J41" s="2"/>
      <c r="K41" s="2" t="str">
        <f t="shared" si="2"/>
        <v>F</v>
      </c>
      <c r="L41" s="2">
        <f t="shared" si="3"/>
        <v>3</v>
      </c>
      <c r="M41" s="4"/>
      <c r="N41" s="4"/>
    </row>
    <row r="45" spans="1:14" x14ac:dyDescent="0.3">
      <c r="G45" s="14" t="s">
        <v>60</v>
      </c>
      <c r="H45" s="14"/>
      <c r="I45" s="14"/>
      <c r="J45" s="14"/>
      <c r="K45" s="14"/>
      <c r="L45" s="14"/>
    </row>
    <row r="46" spans="1:14" x14ac:dyDescent="0.3">
      <c r="A46" s="5" t="s">
        <v>25</v>
      </c>
      <c r="B46" s="5" t="s">
        <v>26</v>
      </c>
      <c r="C46" s="5" t="s">
        <v>27</v>
      </c>
      <c r="D46" s="5" t="s">
        <v>28</v>
      </c>
      <c r="E46" s="5" t="s">
        <v>29</v>
      </c>
      <c r="G46" s="5" t="s">
        <v>61</v>
      </c>
      <c r="H46" s="5" t="s">
        <v>71</v>
      </c>
      <c r="I46" s="5" t="s">
        <v>72</v>
      </c>
      <c r="J46" s="5" t="s">
        <v>73</v>
      </c>
      <c r="K46" s="5" t="s">
        <v>74</v>
      </c>
      <c r="L46" s="5" t="s">
        <v>57</v>
      </c>
    </row>
    <row r="47" spans="1:14" x14ac:dyDescent="0.3">
      <c r="A47" s="2" t="s">
        <v>30</v>
      </c>
      <c r="B47" s="2" t="s">
        <v>31</v>
      </c>
      <c r="C47" s="2" t="s">
        <v>32</v>
      </c>
      <c r="D47" s="2">
        <v>150</v>
      </c>
      <c r="E47" s="2" t="s">
        <v>33</v>
      </c>
      <c r="G47" s="2">
        <f>IF(C47="Finance",IF(D47&gt;=200,1,0),4)</f>
        <v>4</v>
      </c>
      <c r="H47" s="2">
        <f>SUMIF(C47:C56,"HR",D47:D56)</f>
        <v>480</v>
      </c>
      <c r="I47" s="2">
        <f>AVERAGEIF(C47:C56,"IT",D47:D56)</f>
        <v>210</v>
      </c>
      <c r="J47" s="2">
        <f>_xlfn.MAXIFS(D47:D56,C47:C56,"HR")</f>
        <v>170</v>
      </c>
      <c r="K47" s="2">
        <f>_xlfn.MINIFS(D47:D56,C47:C56,"IT")</f>
        <v>190</v>
      </c>
      <c r="L47" s="2">
        <f>COUNTIF(C47:C56,"HR")</f>
        <v>3</v>
      </c>
    </row>
    <row r="48" spans="1:14" x14ac:dyDescent="0.3">
      <c r="A48" s="2" t="s">
        <v>34</v>
      </c>
      <c r="B48" s="2" t="s">
        <v>35</v>
      </c>
      <c r="C48" s="2" t="s">
        <v>36</v>
      </c>
      <c r="D48" s="2">
        <v>200</v>
      </c>
      <c r="E48" s="2" t="s">
        <v>37</v>
      </c>
      <c r="G48" s="2">
        <f t="shared" ref="G48:G56" si="4">IF(C48="Finance",IF(D48&gt;=200,1,0),4)</f>
        <v>4</v>
      </c>
      <c r="H48" s="2"/>
      <c r="I48" s="2"/>
      <c r="J48" s="2"/>
      <c r="K48" s="2"/>
      <c r="L48" s="2"/>
    </row>
    <row r="49" spans="1:12" x14ac:dyDescent="0.3">
      <c r="A49" s="2" t="s">
        <v>38</v>
      </c>
      <c r="B49" s="2" t="s">
        <v>39</v>
      </c>
      <c r="C49" s="2" t="s">
        <v>40</v>
      </c>
      <c r="D49" s="2">
        <v>180</v>
      </c>
      <c r="E49" s="2" t="s">
        <v>33</v>
      </c>
      <c r="G49" s="2">
        <f t="shared" si="4"/>
        <v>0</v>
      </c>
      <c r="H49" s="2"/>
      <c r="I49" s="2"/>
      <c r="J49" s="2"/>
      <c r="K49" s="2"/>
      <c r="L49" s="2"/>
    </row>
    <row r="50" spans="1:12" x14ac:dyDescent="0.3">
      <c r="A50" s="2" t="s">
        <v>41</v>
      </c>
      <c r="B50" s="2" t="s">
        <v>42</v>
      </c>
      <c r="C50" s="2" t="s">
        <v>36</v>
      </c>
      <c r="D50" s="2">
        <v>220</v>
      </c>
      <c r="E50" s="2" t="s">
        <v>33</v>
      </c>
      <c r="G50" s="2">
        <f t="shared" si="4"/>
        <v>4</v>
      </c>
      <c r="H50" s="2"/>
      <c r="I50" s="2"/>
      <c r="J50" s="2"/>
      <c r="K50" s="2"/>
      <c r="L50" s="2"/>
    </row>
    <row r="51" spans="1:12" x14ac:dyDescent="0.3">
      <c r="A51" s="2" t="s">
        <v>43</v>
      </c>
      <c r="B51" s="2" t="s">
        <v>44</v>
      </c>
      <c r="C51" s="2" t="s">
        <v>32</v>
      </c>
      <c r="D51" s="2">
        <v>170</v>
      </c>
      <c r="E51" s="2" t="s">
        <v>37</v>
      </c>
      <c r="G51" s="2">
        <f t="shared" si="4"/>
        <v>4</v>
      </c>
      <c r="H51" s="2"/>
      <c r="I51" s="2"/>
      <c r="J51" s="2"/>
      <c r="K51" s="2"/>
      <c r="L51" s="2"/>
    </row>
    <row r="52" spans="1:12" x14ac:dyDescent="0.3">
      <c r="A52" s="2" t="s">
        <v>45</v>
      </c>
      <c r="B52" s="2" t="s">
        <v>46</v>
      </c>
      <c r="C52" s="2" t="s">
        <v>40</v>
      </c>
      <c r="D52" s="2">
        <v>210</v>
      </c>
      <c r="E52" s="2" t="s">
        <v>33</v>
      </c>
      <c r="G52" s="2">
        <f t="shared" si="4"/>
        <v>1</v>
      </c>
      <c r="H52" s="2"/>
      <c r="I52" s="2"/>
      <c r="J52" s="2"/>
      <c r="K52" s="2"/>
      <c r="L52" s="2"/>
    </row>
    <row r="53" spans="1:12" x14ac:dyDescent="0.3">
      <c r="A53" s="2" t="s">
        <v>47</v>
      </c>
      <c r="B53" s="2" t="s">
        <v>48</v>
      </c>
      <c r="C53" s="2" t="s">
        <v>36</v>
      </c>
      <c r="D53" s="2">
        <v>230</v>
      </c>
      <c r="E53" s="2" t="s">
        <v>33</v>
      </c>
      <c r="G53" s="2">
        <f t="shared" si="4"/>
        <v>4</v>
      </c>
      <c r="H53" s="2"/>
      <c r="I53" s="2"/>
      <c r="J53" s="2"/>
      <c r="K53" s="2"/>
      <c r="L53" s="2"/>
    </row>
    <row r="54" spans="1:12" x14ac:dyDescent="0.3">
      <c r="A54" s="2" t="s">
        <v>49</v>
      </c>
      <c r="B54" s="2" t="s">
        <v>50</v>
      </c>
      <c r="C54" s="2" t="s">
        <v>32</v>
      </c>
      <c r="D54" s="2">
        <v>160</v>
      </c>
      <c r="E54" s="2" t="s">
        <v>37</v>
      </c>
      <c r="G54" s="2">
        <f t="shared" si="4"/>
        <v>4</v>
      </c>
      <c r="H54" s="2"/>
      <c r="I54" s="2"/>
      <c r="J54" s="2"/>
      <c r="K54" s="2"/>
      <c r="L54" s="2"/>
    </row>
    <row r="55" spans="1:12" x14ac:dyDescent="0.3">
      <c r="A55" s="2" t="s">
        <v>51</v>
      </c>
      <c r="B55" s="2" t="s">
        <v>52</v>
      </c>
      <c r="C55" s="2" t="s">
        <v>40</v>
      </c>
      <c r="D55" s="2">
        <v>200</v>
      </c>
      <c r="E55" s="2" t="s">
        <v>33</v>
      </c>
      <c r="G55" s="2">
        <f t="shared" si="4"/>
        <v>1</v>
      </c>
      <c r="H55" s="2"/>
      <c r="I55" s="2"/>
      <c r="J55" s="2"/>
      <c r="K55" s="2"/>
      <c r="L55" s="2"/>
    </row>
    <row r="56" spans="1:12" x14ac:dyDescent="0.3">
      <c r="A56" s="2" t="s">
        <v>53</v>
      </c>
      <c r="B56" s="2" t="s">
        <v>54</v>
      </c>
      <c r="C56" s="2" t="s">
        <v>36</v>
      </c>
      <c r="D56" s="2">
        <v>190</v>
      </c>
      <c r="E56" s="2" t="s">
        <v>37</v>
      </c>
      <c r="G56" s="2">
        <f t="shared" si="4"/>
        <v>4</v>
      </c>
      <c r="H56" s="2"/>
      <c r="I56" s="2"/>
      <c r="J56" s="2"/>
      <c r="K56" s="2"/>
      <c r="L56" s="2"/>
    </row>
    <row r="61" spans="1:12" x14ac:dyDescent="0.3">
      <c r="G61" s="14" t="s">
        <v>75</v>
      </c>
      <c r="H61" s="14"/>
      <c r="I61" s="14"/>
      <c r="J61" s="14"/>
      <c r="K61" s="14"/>
      <c r="L61" s="14"/>
    </row>
    <row r="62" spans="1:12" x14ac:dyDescent="0.3">
      <c r="A62" s="10" t="s">
        <v>62</v>
      </c>
      <c r="B62" s="10" t="s">
        <v>63</v>
      </c>
      <c r="C62" s="10" t="s">
        <v>64</v>
      </c>
      <c r="D62" s="10" t="s">
        <v>65</v>
      </c>
      <c r="E62" s="10" t="s">
        <v>66</v>
      </c>
      <c r="G62" s="4"/>
    </row>
    <row r="63" spans="1:12" x14ac:dyDescent="0.3">
      <c r="A63" s="11">
        <v>45536</v>
      </c>
      <c r="B63" s="12" t="s">
        <v>67</v>
      </c>
      <c r="C63" s="12" t="s">
        <v>30</v>
      </c>
      <c r="D63" s="12">
        <v>10</v>
      </c>
      <c r="E63" s="13">
        <v>200</v>
      </c>
    </row>
    <row r="64" spans="1:12" x14ac:dyDescent="0.3">
      <c r="A64" s="11">
        <v>45536</v>
      </c>
      <c r="B64" s="12" t="s">
        <v>68</v>
      </c>
      <c r="C64" s="12" t="s">
        <v>34</v>
      </c>
      <c r="D64" s="12">
        <v>5</v>
      </c>
      <c r="E64" s="13">
        <v>150</v>
      </c>
      <c r="G64" s="2" t="s">
        <v>76</v>
      </c>
      <c r="H64" s="2">
        <f>SUMIFS(E63:E82,B63:B82,"Widget A",D63:D82,10)</f>
        <v>450</v>
      </c>
    </row>
    <row r="65" spans="1:8" x14ac:dyDescent="0.3">
      <c r="A65" s="11">
        <v>45537</v>
      </c>
      <c r="B65" s="12" t="s">
        <v>67</v>
      </c>
      <c r="C65" s="12" t="s">
        <v>69</v>
      </c>
      <c r="D65" s="12">
        <v>7</v>
      </c>
      <c r="E65" s="13">
        <v>140</v>
      </c>
      <c r="G65" s="2"/>
      <c r="H65" s="2"/>
    </row>
    <row r="66" spans="1:8" x14ac:dyDescent="0.3">
      <c r="A66" s="11">
        <v>45537</v>
      </c>
      <c r="B66" s="12" t="s">
        <v>70</v>
      </c>
      <c r="C66" s="12" t="s">
        <v>30</v>
      </c>
      <c r="D66" s="12">
        <v>15</v>
      </c>
      <c r="E66" s="13">
        <v>300</v>
      </c>
      <c r="G66" s="2" t="s">
        <v>78</v>
      </c>
      <c r="H66" s="2">
        <f>AVERAGEIFS(E63:E82,B63:B82,"Widget A",D63:D82,10)</f>
        <v>225</v>
      </c>
    </row>
    <row r="67" spans="1:8" x14ac:dyDescent="0.3">
      <c r="A67" s="11">
        <v>45538</v>
      </c>
      <c r="B67" s="12" t="s">
        <v>68</v>
      </c>
      <c r="C67" s="12" t="s">
        <v>69</v>
      </c>
      <c r="D67" s="12">
        <v>8</v>
      </c>
      <c r="E67" s="13">
        <v>240</v>
      </c>
      <c r="G67" s="2"/>
      <c r="H67" s="2"/>
    </row>
    <row r="68" spans="1:8" x14ac:dyDescent="0.3">
      <c r="A68" s="11">
        <v>45538</v>
      </c>
      <c r="B68" s="12" t="s">
        <v>67</v>
      </c>
      <c r="C68" s="12" t="s">
        <v>34</v>
      </c>
      <c r="D68" s="12">
        <v>12</v>
      </c>
      <c r="E68" s="13">
        <v>240</v>
      </c>
      <c r="G68" s="2" t="s">
        <v>79</v>
      </c>
      <c r="H68" s="2">
        <f>COUNTIFS(E63:E82,"&gt;150",B63:B82,"Widget A")</f>
        <v>6</v>
      </c>
    </row>
    <row r="69" spans="1:8" x14ac:dyDescent="0.3">
      <c r="A69" s="11">
        <v>45539</v>
      </c>
      <c r="B69" s="12" t="s">
        <v>70</v>
      </c>
      <c r="C69" s="12" t="s">
        <v>30</v>
      </c>
      <c r="D69" s="12">
        <v>6</v>
      </c>
      <c r="E69" s="13">
        <v>120</v>
      </c>
      <c r="G69" s="2"/>
      <c r="H69" s="2"/>
    </row>
    <row r="70" spans="1:8" x14ac:dyDescent="0.3">
      <c r="A70" s="11">
        <v>45539</v>
      </c>
      <c r="B70" s="12" t="s">
        <v>68</v>
      </c>
      <c r="C70" s="12" t="s">
        <v>34</v>
      </c>
      <c r="D70" s="12">
        <v>10</v>
      </c>
      <c r="E70" s="13">
        <v>300</v>
      </c>
      <c r="G70" s="2" t="s">
        <v>77</v>
      </c>
      <c r="H70" s="2">
        <f>_xlfn.MAXIFS(E63:E82,B63:B82,"Widget A")</f>
        <v>250</v>
      </c>
    </row>
    <row r="71" spans="1:8" x14ac:dyDescent="0.3">
      <c r="A71" s="11">
        <v>45540</v>
      </c>
      <c r="B71" s="12" t="s">
        <v>67</v>
      </c>
      <c r="C71" s="12" t="s">
        <v>69</v>
      </c>
      <c r="D71" s="12">
        <v>8</v>
      </c>
      <c r="E71" s="13">
        <v>160</v>
      </c>
      <c r="G71" s="2"/>
      <c r="H71" s="2"/>
    </row>
    <row r="72" spans="1:8" x14ac:dyDescent="0.3">
      <c r="A72" s="11">
        <v>45540</v>
      </c>
      <c r="B72" s="12" t="s">
        <v>70</v>
      </c>
      <c r="C72" s="12" t="s">
        <v>34</v>
      </c>
      <c r="D72" s="12">
        <v>5</v>
      </c>
      <c r="E72" s="13">
        <v>100</v>
      </c>
      <c r="G72" s="2" t="s">
        <v>80</v>
      </c>
      <c r="H72" s="2">
        <f>_xlfn.MINIFS(E63:E82,B63:B82,"Widget A")</f>
        <v>140</v>
      </c>
    </row>
    <row r="73" spans="1:8" x14ac:dyDescent="0.3">
      <c r="A73" s="11">
        <v>45536</v>
      </c>
      <c r="B73" s="12" t="s">
        <v>67</v>
      </c>
      <c r="C73" s="12" t="s">
        <v>30</v>
      </c>
      <c r="D73" s="12">
        <v>10</v>
      </c>
      <c r="E73" s="13">
        <v>250</v>
      </c>
    </row>
    <row r="74" spans="1:8" x14ac:dyDescent="0.3">
      <c r="A74" s="11">
        <v>45536</v>
      </c>
      <c r="B74" s="12" t="s">
        <v>68</v>
      </c>
      <c r="C74" s="12" t="s">
        <v>34</v>
      </c>
      <c r="D74" s="12">
        <v>5</v>
      </c>
      <c r="E74" s="13">
        <v>150</v>
      </c>
    </row>
    <row r="75" spans="1:8" x14ac:dyDescent="0.3">
      <c r="A75" s="11">
        <v>45537</v>
      </c>
      <c r="B75" s="12" t="s">
        <v>67</v>
      </c>
      <c r="C75" s="12" t="s">
        <v>69</v>
      </c>
      <c r="D75" s="12">
        <v>7</v>
      </c>
      <c r="E75" s="13">
        <v>140</v>
      </c>
    </row>
    <row r="76" spans="1:8" x14ac:dyDescent="0.3">
      <c r="A76" s="11">
        <v>45537</v>
      </c>
      <c r="B76" s="12" t="s">
        <v>70</v>
      </c>
      <c r="C76" s="12" t="s">
        <v>30</v>
      </c>
      <c r="D76" s="12">
        <v>15</v>
      </c>
      <c r="E76" s="13">
        <v>300</v>
      </c>
    </row>
    <row r="77" spans="1:8" x14ac:dyDescent="0.3">
      <c r="A77" s="11">
        <v>45538</v>
      </c>
      <c r="B77" s="12" t="s">
        <v>68</v>
      </c>
      <c r="C77" s="12" t="s">
        <v>69</v>
      </c>
      <c r="D77" s="12">
        <v>8</v>
      </c>
      <c r="E77" s="13">
        <v>240</v>
      </c>
    </row>
    <row r="78" spans="1:8" x14ac:dyDescent="0.3">
      <c r="A78" s="11">
        <v>45538</v>
      </c>
      <c r="B78" s="12" t="s">
        <v>67</v>
      </c>
      <c r="C78" s="12" t="s">
        <v>34</v>
      </c>
      <c r="D78" s="12">
        <v>12</v>
      </c>
      <c r="E78" s="13">
        <v>240</v>
      </c>
    </row>
    <row r="79" spans="1:8" x14ac:dyDescent="0.3">
      <c r="A79" s="11">
        <v>45539</v>
      </c>
      <c r="B79" s="12" t="s">
        <v>70</v>
      </c>
      <c r="C79" s="12" t="s">
        <v>30</v>
      </c>
      <c r="D79" s="12">
        <v>6</v>
      </c>
      <c r="E79" s="13">
        <v>120</v>
      </c>
    </row>
    <row r="80" spans="1:8" x14ac:dyDescent="0.3">
      <c r="A80" s="11">
        <v>45539</v>
      </c>
      <c r="B80" s="12" t="s">
        <v>68</v>
      </c>
      <c r="C80" s="12" t="s">
        <v>34</v>
      </c>
      <c r="D80" s="12">
        <v>10</v>
      </c>
      <c r="E80" s="13">
        <v>300</v>
      </c>
    </row>
    <row r="81" spans="1:12" x14ac:dyDescent="0.3">
      <c r="A81" s="11">
        <v>45540</v>
      </c>
      <c r="B81" s="12" t="s">
        <v>67</v>
      </c>
      <c r="C81" s="12" t="s">
        <v>69</v>
      </c>
      <c r="D81" s="12">
        <v>8</v>
      </c>
      <c r="E81" s="13">
        <v>160</v>
      </c>
    </row>
    <row r="82" spans="1:12" x14ac:dyDescent="0.3">
      <c r="A82" s="11">
        <v>45540</v>
      </c>
      <c r="B82" s="12" t="s">
        <v>70</v>
      </c>
      <c r="C82" s="12" t="s">
        <v>34</v>
      </c>
      <c r="D82" s="12">
        <v>5</v>
      </c>
      <c r="E82" s="13">
        <v>100</v>
      </c>
    </row>
    <row r="83" spans="1:12" x14ac:dyDescent="0.3">
      <c r="A83" s="9"/>
      <c r="B83" s="9"/>
      <c r="C83" s="9"/>
      <c r="D83" s="9"/>
      <c r="E83" s="9"/>
    </row>
    <row r="86" spans="1:12" x14ac:dyDescent="0.3">
      <c r="A86" t="s">
        <v>81</v>
      </c>
      <c r="G86" s="14" t="s">
        <v>97</v>
      </c>
      <c r="H86" s="14"/>
      <c r="I86" s="14"/>
      <c r="J86" s="14"/>
      <c r="K86" s="14"/>
      <c r="L86" s="14"/>
    </row>
    <row r="87" spans="1:12" x14ac:dyDescent="0.3">
      <c r="A87" s="2" t="s">
        <v>82</v>
      </c>
      <c r="B87" s="2" t="s">
        <v>6</v>
      </c>
      <c r="C87" s="2" t="s">
        <v>83</v>
      </c>
      <c r="D87" s="2" t="s">
        <v>84</v>
      </c>
      <c r="G87" s="16" t="s">
        <v>98</v>
      </c>
    </row>
    <row r="88" spans="1:12" x14ac:dyDescent="0.3">
      <c r="A88" s="2" t="s">
        <v>85</v>
      </c>
      <c r="B88" s="2" t="s">
        <v>30</v>
      </c>
      <c r="C88" s="2">
        <v>14</v>
      </c>
      <c r="D88" s="2">
        <v>8</v>
      </c>
      <c r="G88" s="2" t="str">
        <f>VLOOKUP(A88,A98:C103,2,)</f>
        <v>Introduction to Data Science and Machine Learning</v>
      </c>
    </row>
    <row r="89" spans="1:12" x14ac:dyDescent="0.3">
      <c r="A89" s="2" t="s">
        <v>86</v>
      </c>
      <c r="B89" s="2" t="s">
        <v>34</v>
      </c>
      <c r="C89" s="2">
        <v>15</v>
      </c>
      <c r="D89" s="2">
        <v>9</v>
      </c>
      <c r="G89" s="2" t="str">
        <f t="shared" ref="G89:G92" si="5">VLOOKUP(A89,A99:C104,2,)</f>
        <v>Full-Stack Web Development Bootcamp</v>
      </c>
    </row>
    <row r="90" spans="1:12" x14ac:dyDescent="0.3">
      <c r="A90" s="2" t="s">
        <v>87</v>
      </c>
      <c r="B90" s="2" t="s">
        <v>38</v>
      </c>
      <c r="C90" s="2">
        <v>14</v>
      </c>
      <c r="D90" s="2">
        <v>8</v>
      </c>
      <c r="G90" s="2" t="str">
        <f t="shared" si="5"/>
        <v>Cybersecurity Essentials: Protecting Digital Assets</v>
      </c>
    </row>
    <row r="91" spans="1:12" x14ac:dyDescent="0.3">
      <c r="A91" s="2" t="s">
        <v>88</v>
      </c>
      <c r="B91" s="2" t="s">
        <v>41</v>
      </c>
      <c r="C91" s="2">
        <v>16</v>
      </c>
      <c r="D91" s="2">
        <v>10</v>
      </c>
      <c r="G91" s="2" t="str">
        <f t="shared" si="5"/>
        <v>Advanced Excel and Data Analysis</v>
      </c>
    </row>
    <row r="92" spans="1:12" x14ac:dyDescent="0.3">
      <c r="A92" s="2" t="s">
        <v>89</v>
      </c>
      <c r="B92" s="2" t="s">
        <v>43</v>
      </c>
      <c r="C92" s="2">
        <v>15</v>
      </c>
      <c r="D92" s="2">
        <v>9</v>
      </c>
      <c r="G92" s="2" t="str">
        <f t="shared" si="5"/>
        <v>Cloud Computing with AWS and Azure</v>
      </c>
    </row>
    <row r="97" spans="1:11" x14ac:dyDescent="0.3">
      <c r="A97" t="s">
        <v>90</v>
      </c>
    </row>
    <row r="98" spans="1:11" x14ac:dyDescent="0.3">
      <c r="A98" s="2" t="s">
        <v>82</v>
      </c>
      <c r="B98" s="2" t="s">
        <v>91</v>
      </c>
      <c r="C98" s="2" t="s">
        <v>82</v>
      </c>
      <c r="G98" s="2" t="s">
        <v>6</v>
      </c>
      <c r="H98" s="2" t="s">
        <v>84</v>
      </c>
    </row>
    <row r="99" spans="1:11" x14ac:dyDescent="0.3">
      <c r="A99" s="2" t="s">
        <v>85</v>
      </c>
      <c r="B99" s="2" t="s">
        <v>92</v>
      </c>
      <c r="C99" s="2" t="s">
        <v>85</v>
      </c>
      <c r="G99" s="2" t="str">
        <f>VLOOKUP(A99,A88:D92,2,FALSE)</f>
        <v>Alice</v>
      </c>
      <c r="H99" s="2">
        <f>VLOOKUP(A99,A87:D92,3,FALSE)</f>
        <v>14</v>
      </c>
    </row>
    <row r="100" spans="1:11" x14ac:dyDescent="0.3">
      <c r="A100" s="2" t="s">
        <v>86</v>
      </c>
      <c r="B100" s="2" t="s">
        <v>93</v>
      </c>
      <c r="C100" s="2" t="s">
        <v>86</v>
      </c>
      <c r="G100" s="2" t="str">
        <f t="shared" ref="G100:G103" si="6">VLOOKUP(A100,A89:D93,2,FALSE)</f>
        <v>Bob</v>
      </c>
      <c r="H100" s="2">
        <f t="shared" ref="H100:H103" si="7">VLOOKUP(A100,A88:D93,3,FALSE)</f>
        <v>15</v>
      </c>
    </row>
    <row r="101" spans="1:11" x14ac:dyDescent="0.3">
      <c r="A101" s="2" t="s">
        <v>87</v>
      </c>
      <c r="B101" s="2" t="s">
        <v>94</v>
      </c>
      <c r="C101" s="2" t="s">
        <v>87</v>
      </c>
      <c r="G101" s="2" t="str">
        <f t="shared" si="6"/>
        <v>Charlie</v>
      </c>
      <c r="H101" s="2">
        <f t="shared" si="7"/>
        <v>14</v>
      </c>
    </row>
    <row r="102" spans="1:11" x14ac:dyDescent="0.3">
      <c r="A102" s="2" t="s">
        <v>88</v>
      </c>
      <c r="B102" s="2" t="s">
        <v>95</v>
      </c>
      <c r="C102" s="2" t="s">
        <v>88</v>
      </c>
      <c r="G102" s="2" t="str">
        <f t="shared" si="6"/>
        <v>David</v>
      </c>
      <c r="H102" s="2">
        <f t="shared" si="7"/>
        <v>16</v>
      </c>
    </row>
    <row r="103" spans="1:11" x14ac:dyDescent="0.3">
      <c r="A103" s="2" t="s">
        <v>89</v>
      </c>
      <c r="B103" s="2" t="s">
        <v>96</v>
      </c>
      <c r="C103" s="2" t="s">
        <v>89</v>
      </c>
      <c r="G103" s="2" t="str">
        <f t="shared" si="6"/>
        <v>Eva</v>
      </c>
      <c r="H103" s="2">
        <f t="shared" si="7"/>
        <v>15</v>
      </c>
    </row>
    <row r="106" spans="1:11" x14ac:dyDescent="0.3">
      <c r="G106" s="2" t="s">
        <v>99</v>
      </c>
      <c r="H106" s="2" t="s">
        <v>100</v>
      </c>
      <c r="I106" s="2" t="s">
        <v>83</v>
      </c>
      <c r="J106" s="16" t="s">
        <v>84</v>
      </c>
      <c r="K106" s="16" t="s">
        <v>6</v>
      </c>
    </row>
    <row r="107" spans="1:11" x14ac:dyDescent="0.3">
      <c r="G107" s="2" t="str">
        <f>_xlfn.XLOOKUP(A88,A87:A92,B98:B103,,0)</f>
        <v>Introduction to Data Science and Machine Learning</v>
      </c>
      <c r="H107" s="2" t="str">
        <f>_xlfn.XLOOKUP(A99,A98:A103,A98:A103,,0)</f>
        <v>S001</v>
      </c>
      <c r="I107" s="2">
        <f>_xlfn.XLOOKUP(A88,A87:A92,C87:C92,,0)</f>
        <v>14</v>
      </c>
      <c r="J107" s="2">
        <f>_xlfn.XLOOKUP(A88,A87:A92,D87:D92,,0)</f>
        <v>8</v>
      </c>
      <c r="K107" s="2" t="str">
        <f>_xlfn.XLOOKUP(A88,A87:A92,B87:B92,,0)</f>
        <v>Alice</v>
      </c>
    </row>
    <row r="108" spans="1:11" x14ac:dyDescent="0.3">
      <c r="G108" s="2" t="str">
        <f>_xlfn.XLOOKUP(A89,$A88:$A93,$B$99:$B$104,,0)</f>
        <v>Full-Stack Web Development Bootcamp</v>
      </c>
      <c r="H108" s="2" t="str">
        <f t="shared" ref="H108:H111" si="8">_xlfn.XLOOKUP(A100,A99:A104,A99:A104,,0)</f>
        <v>S002</v>
      </c>
      <c r="I108" s="2">
        <f t="shared" ref="I108:I111" si="9">_xlfn.XLOOKUP(A89,A88:A93,C88:C93,,0)</f>
        <v>15</v>
      </c>
      <c r="J108" s="2">
        <f t="shared" ref="J108:J111" si="10">_xlfn.XLOOKUP(A89,A88:A93,D88:D93,,0)</f>
        <v>9</v>
      </c>
      <c r="K108" s="2" t="str">
        <f t="shared" ref="K108:K111" si="11">_xlfn.XLOOKUP(A89,A88:A93,B88:B93,,0)</f>
        <v>Bob</v>
      </c>
    </row>
    <row r="109" spans="1:11" x14ac:dyDescent="0.3">
      <c r="G109" s="2" t="str">
        <f t="shared" ref="G108:G112" si="12">_xlfn.XLOOKUP(A90,A89:A94,B100:B105,,0)</f>
        <v>Cybersecurity Essentials: Protecting Digital Assets</v>
      </c>
      <c r="H109" s="2" t="str">
        <f t="shared" si="8"/>
        <v>S003</v>
      </c>
      <c r="I109" s="2">
        <f t="shared" si="9"/>
        <v>14</v>
      </c>
      <c r="J109" s="2">
        <f t="shared" si="10"/>
        <v>8</v>
      </c>
      <c r="K109" s="2" t="str">
        <f t="shared" si="11"/>
        <v>Charlie</v>
      </c>
    </row>
    <row r="110" spans="1:11" x14ac:dyDescent="0.3">
      <c r="G110" s="2" t="str">
        <f t="shared" si="12"/>
        <v>Advanced Excel and Data Analysis</v>
      </c>
      <c r="H110" s="2" t="str">
        <f t="shared" si="8"/>
        <v>S004</v>
      </c>
      <c r="I110" s="2">
        <f t="shared" si="9"/>
        <v>16</v>
      </c>
      <c r="J110" s="2">
        <f t="shared" si="10"/>
        <v>10</v>
      </c>
      <c r="K110" s="2" t="str">
        <f t="shared" si="11"/>
        <v>David</v>
      </c>
    </row>
    <row r="111" spans="1:11" x14ac:dyDescent="0.3">
      <c r="G111" s="2" t="str">
        <f>_xlfn.XLOOKUP(A92,A91:A96,B102:B107,,0)</f>
        <v>Cloud Computing with AWS and Azure</v>
      </c>
      <c r="H111" s="2" t="str">
        <f t="shared" si="8"/>
        <v>S005</v>
      </c>
      <c r="I111" s="2">
        <f t="shared" si="9"/>
        <v>15</v>
      </c>
      <c r="J111" s="2">
        <f t="shared" si="10"/>
        <v>9</v>
      </c>
      <c r="K111" s="2" t="str">
        <f t="shared" si="11"/>
        <v>Eva</v>
      </c>
    </row>
  </sheetData>
  <mergeCells count="7">
    <mergeCell ref="G86:L86"/>
    <mergeCell ref="G61:L61"/>
    <mergeCell ref="D1:H1"/>
    <mergeCell ref="D8:H8"/>
    <mergeCell ref="D19:H19"/>
    <mergeCell ref="G30:L30"/>
    <mergeCell ref="G45:L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Aarsh Vanjari</dc:creator>
  <cp:lastModifiedBy>Aarsh Vanjari</cp:lastModifiedBy>
  <dcterms:created xsi:type="dcterms:W3CDTF">2026-04-06T04:53:34Z</dcterms:created>
  <dcterms:modified xsi:type="dcterms:W3CDTF">2026-04-06T11:51:57Z</dcterms:modified>
</cp:coreProperties>
</file>